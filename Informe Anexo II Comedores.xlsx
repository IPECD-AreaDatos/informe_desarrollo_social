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DRON INTERIOR" sheetId="1" r:id="rId4"/>
    <sheet state="visible" name="PADRON CAPITAL" sheetId="2" r:id="rId5"/>
    <sheet state="visible" name="BECARIOS CAPITAL E INTERIOR" sheetId="3" r:id="rId6"/>
    <sheet state="visible" name="MANOS PORA" sheetId="4" r:id="rId7"/>
    <sheet state="visible" name="ART. DE LIMPIEZA" sheetId="5" r:id="rId8"/>
    <sheet state="visible" name="PRODUCTOS FRESCOS" sheetId="6" r:id="rId9"/>
  </sheets>
  <externalReferences>
    <externalReference r:id="rId10"/>
  </externalReferences>
  <definedNames>
    <definedName name="Area">[1]!Tabla10[AREA]</definedName>
    <definedName hidden="1" localSheetId="0" name="_xlnm._FilterDatabase">'PADRON INTERIOR'!$J$1:$J$1000</definedName>
  </definedNames>
  <calcPr/>
  <extLst>
    <ext uri="GoogleSheetsCustomDataVersion2">
      <go:sheetsCustomData xmlns:go="http://customooxmlschemas.google.com/" r:id="rId11" roundtripDataChecksum="x79polmXpVjg+95DYnikDKZUDUzwgDgozJNQBHYPXlE="/>
    </ext>
  </extLst>
</workbook>
</file>

<file path=xl/sharedStrings.xml><?xml version="1.0" encoding="utf-8"?>
<sst xmlns="http://schemas.openxmlformats.org/spreadsheetml/2006/main" count="4287" uniqueCount="1995">
  <si>
    <t>PADRON PLAN VERANO AÑO 2026 - DIRECCION DE SEGURIDAD ALIMENTARIA (MINISTERIO DE DESARROLLO SOCIAL PROVINCIA DE CORRIENTES)  - INTERIOR</t>
  </si>
  <si>
    <t>ZONA</t>
  </si>
  <si>
    <t>CENTRO DE DISTRIBUCIÓN</t>
  </si>
  <si>
    <t>CENTRO DE ENTREGA</t>
  </si>
  <si>
    <t>DIRECCIÓN</t>
  </si>
  <si>
    <t>TELEFONO</t>
  </si>
  <si>
    <t>DEPARTAMENTO</t>
  </si>
  <si>
    <t>LOCALIDAD</t>
  </si>
  <si>
    <t>BENEF</t>
  </si>
  <si>
    <t>ORGANISMO</t>
  </si>
  <si>
    <t>DETALLE SERV.</t>
  </si>
  <si>
    <t>st</t>
  </si>
  <si>
    <t>Org.II</t>
  </si>
  <si>
    <t>OBS.</t>
  </si>
  <si>
    <t xml:space="preserve"> C</t>
  </si>
  <si>
    <t>C.P.F. Nº 1 San Jose Obrero</t>
  </si>
  <si>
    <t>Larrea y Suipacha</t>
  </si>
  <si>
    <t>Dto. de Alvear</t>
  </si>
  <si>
    <t>Alvear</t>
  </si>
  <si>
    <t>MIN. Y FLIA.</t>
  </si>
  <si>
    <t>REFRIGERIOS</t>
  </si>
  <si>
    <t>Reciben en Plan 1 (2026)</t>
  </si>
  <si>
    <t>COMIDAS</t>
  </si>
  <si>
    <t xml:space="preserve"> A</t>
  </si>
  <si>
    <t>C.I.C. de la localidad de Bella Vista</t>
  </si>
  <si>
    <t>25 de Mayo casi Charcas S/N</t>
  </si>
  <si>
    <t>3777-543472 (Carolina Zalazar)</t>
  </si>
  <si>
    <t>Dto. de Bella Vista</t>
  </si>
  <si>
    <t>Bella Vista</t>
  </si>
  <si>
    <t>ACCION SOCIAL</t>
  </si>
  <si>
    <t>Gurisito Costero</t>
  </si>
  <si>
    <t>C.P.M. Nº 11 Gurisito Costero</t>
  </si>
  <si>
    <t>Belgrano y Costanera Zona Ribereña, El Carrizal</t>
  </si>
  <si>
    <t>3777-554922 (Erika Carrasco)</t>
  </si>
  <si>
    <t>Cong. Cristiana B. Vista</t>
  </si>
  <si>
    <t>3777-479009 (Graciela Lujan Gek)</t>
  </si>
  <si>
    <t>H.A. Nuevo Amanecer</t>
  </si>
  <si>
    <t>Estrada 66 - Bella Vista</t>
  </si>
  <si>
    <t>3777-304595 (Soto Sandra Leticia)</t>
  </si>
  <si>
    <t>J.M. Sagrado Corazón de Jesús</t>
  </si>
  <si>
    <t>Bº Los Pinos</t>
  </si>
  <si>
    <t>3777-310761 (Fany Rolon)</t>
  </si>
  <si>
    <t>Liga Bellavistense de Fútbol (Para 8 Clubes)</t>
  </si>
  <si>
    <t>Sucre y Montevideo - Bella Vista</t>
  </si>
  <si>
    <t>3777-609978 (Juan Insaurralde)</t>
  </si>
  <si>
    <t>C.P.M. Nº 22 Pago Redondo</t>
  </si>
  <si>
    <t>Ex Mercado de Abasto</t>
  </si>
  <si>
    <t>3794652143 (Celida Noemí Voulquin)</t>
  </si>
  <si>
    <t>Dto. de Berón de Astrada</t>
  </si>
  <si>
    <t>Berón de Astrada</t>
  </si>
  <si>
    <t>Casita Verde (B. de Astrada)</t>
  </si>
  <si>
    <t xml:space="preserve">25 de Mayo s/n frente a la Plaza </t>
  </si>
  <si>
    <t>3794-237319 (Hugo Daniel Cerdan)</t>
  </si>
  <si>
    <t>Fruto Verde</t>
  </si>
  <si>
    <t>Riachuelo - 11 Leones (Zona Rural)</t>
  </si>
  <si>
    <t>3794-273201 (Sandra Correa)</t>
  </si>
  <si>
    <t>Dto. de Capital</t>
  </si>
  <si>
    <t>Riachuelo</t>
  </si>
  <si>
    <t>G - Los Chiquilines</t>
  </si>
  <si>
    <t>Riachuelo Pueblo Echazarreta 103 - Dpto. de Empedrado</t>
  </si>
  <si>
    <t>3794-153881 (Lidia Esther Villan)</t>
  </si>
  <si>
    <t>Jesús Misericordioso (Nº 73)</t>
  </si>
  <si>
    <t>Riachuelo - Rincón Roa Fopar</t>
  </si>
  <si>
    <t>3794-631346 (Claudia Roa)</t>
  </si>
  <si>
    <t>La Gurisada</t>
  </si>
  <si>
    <t>Km. 34 / Rta. 12 - El Sombrero (Empedrado)</t>
  </si>
  <si>
    <t>3794-002572 (Graciela González)</t>
  </si>
  <si>
    <t>Riachuelo (Nº 76)</t>
  </si>
  <si>
    <t xml:space="preserve">Riachuelo - 11 Leones / Cuarta Sección - Domínguez Marta D.N.I. Nº: 21.870.412. </t>
  </si>
  <si>
    <t>3795-153281 (Marta Dominguez)</t>
  </si>
  <si>
    <t>Santa Margarita</t>
  </si>
  <si>
    <t>Riachuelo - Barrio Sta. Margarita, Los Lapachos</t>
  </si>
  <si>
    <t>3794-566852 (Celia Beatriz Maidana)</t>
  </si>
  <si>
    <t>B</t>
  </si>
  <si>
    <t>Merendero Carita Feliz</t>
  </si>
  <si>
    <t xml:space="preserve">Bº San Martín, bajar por Ruta Nac. 118 km 48 (2º Entrada a Tabay - Ermita de la Virgen de Luján - Galpones verdes de Coqui Palacio) Zunilda Palacio </t>
  </si>
  <si>
    <t>3782-486684 (Zunilda Palacio )</t>
  </si>
  <si>
    <t>Dto. de Concepción</t>
  </si>
  <si>
    <t xml:space="preserve"> Tabay</t>
  </si>
  <si>
    <t>Merendero Rayo de Luz</t>
  </si>
  <si>
    <t xml:space="preserve">Ruta Nac. 118 km 49 (cerca Esc. Nº 211 - Adolfo Alvarez </t>
  </si>
  <si>
    <t>3794-347342 (Andrea Edith Sanchez)</t>
  </si>
  <si>
    <t xml:space="preserve"> B</t>
  </si>
  <si>
    <t>Centro Nº 3 Virgen de Itatí</t>
  </si>
  <si>
    <t>Calle Curupy y San Martin- Colonia Tatacuá - (Cel. 3794075879 - Fernández)</t>
  </si>
  <si>
    <t>3794-075879 (Carolina Fernández)</t>
  </si>
  <si>
    <t>Concepción</t>
  </si>
  <si>
    <t>J.M. Adela Feris de Romero</t>
  </si>
  <si>
    <t>Independencia 547</t>
  </si>
  <si>
    <t>3795-160547 (Ramona Mercedes Cardozo)</t>
  </si>
  <si>
    <t>C.I.P.I. Nº 4 "Maria de Nazareth"</t>
  </si>
  <si>
    <t>Detrás de la Intendencia de Santa Rosa</t>
  </si>
  <si>
    <t>3794-204031  (Vanina Pavón)</t>
  </si>
  <si>
    <t>Santa Rosa</t>
  </si>
  <si>
    <t>Comedor Capilla San Cayetano</t>
  </si>
  <si>
    <t xml:space="preserve">Juan Bautista Cabral 045 </t>
  </si>
  <si>
    <t>3782-525745 (Marcelo Otazo) - 3782-510835 (Lourdes Pereyra)</t>
  </si>
  <si>
    <t>C.I.C. Curuzú Cuatiá</t>
  </si>
  <si>
    <t>Sarmiento y Deán Funes</t>
  </si>
  <si>
    <t>3774-630197 (Ana clara Jauregui)</t>
  </si>
  <si>
    <t>Dto. de Curuzú Cuatiá</t>
  </si>
  <si>
    <t>Curuzú Cuatiá</t>
  </si>
  <si>
    <t>Club Atlético Santa Rosa</t>
  </si>
  <si>
    <t>Gral. Ramírez N° 832</t>
  </si>
  <si>
    <t>3774-402063 (Ariel Vallejos)</t>
  </si>
  <si>
    <t>H.A. Adelina B. de Ezcurra</t>
  </si>
  <si>
    <t>Av. España 244</t>
  </si>
  <si>
    <t>3774-465885 (Carmen Marticorena)</t>
  </si>
  <si>
    <t>J.M. Mitaí Porá</t>
  </si>
  <si>
    <t>Barrio 200 Viv. - Entre 16 de Noviembre e Isabel La Católica</t>
  </si>
  <si>
    <t>3774-465021 (Amalia Andrea Silva)</t>
  </si>
  <si>
    <t>J.M. Semillitas</t>
  </si>
  <si>
    <t>Gobernador Gómez 835 (detrás de la Terminal)</t>
  </si>
  <si>
    <t>3794-722934 (Martinez Silvia Noemi)</t>
  </si>
  <si>
    <t>Liga de Fútbol Gral. Belgrano</t>
  </si>
  <si>
    <t xml:space="preserve">Gral. Ramírez N° 753 - Sr Ojeda </t>
  </si>
  <si>
    <t>3774-634021 (Daniel Ojeda)</t>
  </si>
  <si>
    <t>Delegación Desarrollo Social de Perugorría</t>
  </si>
  <si>
    <t>Pedro Nolasco S/N</t>
  </si>
  <si>
    <t>3777-415719 (Eliana Gimena López)</t>
  </si>
  <si>
    <t>Perugorría</t>
  </si>
  <si>
    <t>Comedor Manuel Derqui</t>
  </si>
  <si>
    <t>3794-923704 (Catalina Cáceres)</t>
  </si>
  <si>
    <t>Dto. de Empedrado</t>
  </si>
  <si>
    <t>Derqui</t>
  </si>
  <si>
    <t>A</t>
  </si>
  <si>
    <t>Asoc. de Malloneros San Expedito</t>
  </si>
  <si>
    <t>Asoc. de Malloneros San Expedito (Tomasa Franco)</t>
  </si>
  <si>
    <t>Belgrano 750</t>
  </si>
  <si>
    <t>3794-027649 (Tomasa Franco)</t>
  </si>
  <si>
    <t>Empedrado</t>
  </si>
  <si>
    <t>C.P.M. Nº 19 Niños Felices Anexo CIPI N° 6 Perlita</t>
  </si>
  <si>
    <t>Belgrano 1960</t>
  </si>
  <si>
    <t>3794-037428 (Mónica Ortiz)</t>
  </si>
  <si>
    <t>Cañada Quiróz II - Gruta de la Virgen</t>
  </si>
  <si>
    <t>Av. Alejo Rueda - Gruta de la Virgen</t>
  </si>
  <si>
    <t>H.A. Teresa Faraone</t>
  </si>
  <si>
    <t>Alsina y 9 de Julio</t>
  </si>
  <si>
    <t>3795-063413 (Teresa Coronel)</t>
  </si>
  <si>
    <t>Iglesia Asamblea de Dios-Templo Filadelfia</t>
  </si>
  <si>
    <t>Santiago del Estero 710</t>
  </si>
  <si>
    <t>3782-431769 (Lidia Leañez)</t>
  </si>
  <si>
    <t>C.P.M. Nº 32 "Santa Rita"</t>
  </si>
  <si>
    <t>Barrio San Fernando - Los Ceibos S/N</t>
  </si>
  <si>
    <t>3777-611906 (Ana Isabel Rojo)</t>
  </si>
  <si>
    <t>Dto. de Esquina</t>
  </si>
  <si>
    <t>Esquina</t>
  </si>
  <si>
    <t>C.P.M. Nº 5 "Niño Jesús"</t>
  </si>
  <si>
    <t>Bº Mancini - Los Sauces 1920 (detrás de la cancha San Martin)</t>
  </si>
  <si>
    <t>3777-305306 (Lucrecia Martinez)</t>
  </si>
  <si>
    <t>Centro de Día "Solcito"</t>
  </si>
  <si>
    <t>Marcelino Dávila S/N (entre Rta. 12 y los Ceibos)</t>
  </si>
  <si>
    <t>3777-284428 (Jennifer Borda)</t>
  </si>
  <si>
    <t>Centro Obispo "Alberto Devoto" (Esquina)</t>
  </si>
  <si>
    <t>B° San Antonio - Noain Ortigóza S/N (al lado de la Capilla San Antonio)</t>
  </si>
  <si>
    <t>3777-312095 (Ariel Grenat)</t>
  </si>
  <si>
    <t>H.A. San Vicente de Paul (Esquina)</t>
  </si>
  <si>
    <t>Gbdor. Velazco 687</t>
  </si>
  <si>
    <t>3777-283833 (Silvia Ojeda)</t>
  </si>
  <si>
    <t>3778-283833 (Silvia Ojeda)</t>
  </si>
  <si>
    <t>J.M. El Carmen</t>
  </si>
  <si>
    <t>Serrano Soto 66</t>
  </si>
  <si>
    <t>3777-207724 (Nancy Martinez)</t>
  </si>
  <si>
    <t>Liga Esquinense de Fútbol (Para 6 Clubes)</t>
  </si>
  <si>
    <t>Hipólito Yrigoyen S/N (a continuación de la calle Sarmiento)</t>
  </si>
  <si>
    <t>3777-473420 (Carril Carlos)</t>
  </si>
  <si>
    <t>Merendero Don Juan</t>
  </si>
  <si>
    <t>B° La Providencia. Esquina</t>
  </si>
  <si>
    <t>3794-982324 (Zulma Vallejos)</t>
  </si>
  <si>
    <t>Sociedad Protectora de la Infancia</t>
  </si>
  <si>
    <t>Sarmiento 485</t>
  </si>
  <si>
    <t>3777-337735 (Luisa Bernasconi)</t>
  </si>
  <si>
    <t>C.P.M. Nº 20 Mi Esperanza</t>
  </si>
  <si>
    <t>Ex Estación de Ferrocarril</t>
  </si>
  <si>
    <t>3794-885736 (Berenice Cáceres)</t>
  </si>
  <si>
    <t>Dto. de General Paz</t>
  </si>
  <si>
    <t>Caá Catí</t>
  </si>
  <si>
    <t>Centro de entrega Avivamiento Cristiano de Caá Catí</t>
  </si>
  <si>
    <t>Av. David Martinez S/N entre Gervasio Blanco Hijo y Calle Itatí</t>
  </si>
  <si>
    <t>3794-817906 (Mariel Mendez)</t>
  </si>
  <si>
    <t>Iglesia Evangelista de Jesus Nombre sin igual</t>
  </si>
  <si>
    <t>Joaquín Madariaga S/N - Loc. de Palmar Grande (Carmen Alvarenga)</t>
  </si>
  <si>
    <t>3795-347363</t>
  </si>
  <si>
    <t>General Paz</t>
  </si>
  <si>
    <t>C</t>
  </si>
  <si>
    <t>Club Rana Itá Ibaté</t>
  </si>
  <si>
    <t>Berón de Astrada entre 9 de julio y Alberdi</t>
  </si>
  <si>
    <t>378-1412983 (José Luis Rodriguez)</t>
  </si>
  <si>
    <t>Itá Ibaté</t>
  </si>
  <si>
    <t>Corazón Contento de Arenruguá</t>
  </si>
  <si>
    <t>Alberdi e/ Ituzaingó y Paraguay (Itá Ibaté)</t>
  </si>
  <si>
    <t>3794-922748 (Esther Bramante)</t>
  </si>
  <si>
    <t>Centro de Día "Días Felices"</t>
  </si>
  <si>
    <t>Albergue Juvenil Hogar Rural</t>
  </si>
  <si>
    <t>Mariano I. Loza S/N - Goya</t>
  </si>
  <si>
    <t>3777-621686 (Raimundi Gladis)</t>
  </si>
  <si>
    <t>Dto. de Goya</t>
  </si>
  <si>
    <t>Goya</t>
  </si>
  <si>
    <t>C.P.M. Nº 25 "Arco Iris"</t>
  </si>
  <si>
    <t>Barrio Sarmiento - Goya</t>
  </si>
  <si>
    <t>3777-400944 (Elizabeth Ayala)</t>
  </si>
  <si>
    <t>C.P.M. Nº 29 "Chamiguitos"</t>
  </si>
  <si>
    <t>Barrio Costas Las Rosas - Goya</t>
  </si>
  <si>
    <t>3777-558050 (Melina Belén Tones)</t>
  </si>
  <si>
    <t>Av. España 875 - Goya</t>
  </si>
  <si>
    <t>3777-538746 (María Maciel)</t>
  </si>
  <si>
    <t>H.N. San Vicente de Paul</t>
  </si>
  <si>
    <t>Sargento Cabral 351 - Goya</t>
  </si>
  <si>
    <t>3777-633284 (Julieta Gómez Muñoz)</t>
  </si>
  <si>
    <t>Mtrio. de Justicia</t>
  </si>
  <si>
    <t>Instituto de Orientación Juvenil</t>
  </si>
  <si>
    <t>Km. 6, Frente al Aeropuerto</t>
  </si>
  <si>
    <t>3794-597128 (Analia Segovia)</t>
  </si>
  <si>
    <t>J.M. "Abuelo Justo"</t>
  </si>
  <si>
    <t>Barrio 432 Viviendas</t>
  </si>
  <si>
    <t>3777648938 (Laura Medina)</t>
  </si>
  <si>
    <t>J.M. "Mamá Perla"</t>
  </si>
  <si>
    <t>Piragine Niveyro 730 - Goya</t>
  </si>
  <si>
    <t>3777624146 (Belen Balestra)</t>
  </si>
  <si>
    <t>Delegación Desarrollo Social (Goya)</t>
  </si>
  <si>
    <t>Comedor San Cayetano</t>
  </si>
  <si>
    <t>Tucumán y Pujol</t>
  </si>
  <si>
    <t>3777-637016 (Beatriz Lopez)</t>
  </si>
  <si>
    <t>Congregación Cristiana</t>
  </si>
  <si>
    <t>Bartolomé Mitre 1337</t>
  </si>
  <si>
    <t>3777-394195 (Marcelo Javier Fernández)</t>
  </si>
  <si>
    <t>Liga Goyana de Fútbol (Para 7 Clubes)</t>
  </si>
  <si>
    <t>Av. Sarmiento 60</t>
  </si>
  <si>
    <t>Municipalidad de Goya</t>
  </si>
  <si>
    <t>Municipalidad</t>
  </si>
  <si>
    <t>Bº Estrella del Sur Mz C C.22</t>
  </si>
  <si>
    <t xml:space="preserve">(3777-273034) LEMOS SILVIA </t>
  </si>
  <si>
    <t>H.A. San José</t>
  </si>
  <si>
    <t>3777-221962 (María Raquel Ortiz)</t>
  </si>
  <si>
    <t>Movimiento Libre del Sur (Goya)</t>
  </si>
  <si>
    <t>Movimiento Libre del Sur</t>
  </si>
  <si>
    <t>Barrio Belgrano Mz G Casa 1</t>
  </si>
  <si>
    <t>Ocampo, Miriam Matilde (Cel.11-2338-9298)</t>
  </si>
  <si>
    <t>Basílica de Itatí (ITATI)</t>
  </si>
  <si>
    <t>Basilica de Itatí</t>
  </si>
  <si>
    <t>Monseñor Luis Niella 340</t>
  </si>
  <si>
    <t>11-3436-0047 (Porfirio Ramirez)</t>
  </si>
  <si>
    <t>Dto. de Itatí</t>
  </si>
  <si>
    <t>Itatí</t>
  </si>
  <si>
    <t>C.I.C. Dr. René Favaloro</t>
  </si>
  <si>
    <t xml:space="preserve">Bº Avá Rapé e/ Villegas y 7 de Diciembre - Norberto Ramírez </t>
  </si>
  <si>
    <t>3794121156 (Mirian Lugo)</t>
  </si>
  <si>
    <t>C.P.M. Nº 3 "Cambacito"</t>
  </si>
  <si>
    <t>25 de Mayo S/N (Al lado de Estación Terminal)</t>
  </si>
  <si>
    <t xml:space="preserve">3795-330487 (Cynthya Elisabet Umbert) </t>
  </si>
  <si>
    <t>Comedor Nueva Esperanza (ITATI)</t>
  </si>
  <si>
    <t>Comedor Nueva Esperanza</t>
  </si>
  <si>
    <t xml:space="preserve">25 de Mayo 480. Analía Ramírez </t>
  </si>
  <si>
    <t>3795-164878 (Darío González)</t>
  </si>
  <si>
    <t>ONG RED MUNDIAL</t>
  </si>
  <si>
    <t>Bº Entel - Alberdi s/n -  Casa Nº 8 e/ Pedro Mola y 9 de Julio</t>
  </si>
  <si>
    <t>3758-403089 (Marta Ifran)</t>
  </si>
  <si>
    <t>Dto. de Ituzaingó</t>
  </si>
  <si>
    <t xml:space="preserve"> San Carlos</t>
  </si>
  <si>
    <t>Asociación Hogar de Niños Filadelfia</t>
  </si>
  <si>
    <t xml:space="preserve">Ruta 12 km 1275 Luis Alberto Santibañez </t>
  </si>
  <si>
    <t>3786-458870 (Irma Esther Marzoratti)</t>
  </si>
  <si>
    <t>Ituzaingó</t>
  </si>
  <si>
    <t>CADI ITUZAINGÓ</t>
  </si>
  <si>
    <t/>
  </si>
  <si>
    <t>3786-451076 (Natalia Malavé)</t>
  </si>
  <si>
    <t>Comedor Denis Ituzaingo</t>
  </si>
  <si>
    <t>Bº Paraná - Calle Madariaga y Mendoza.</t>
  </si>
  <si>
    <t>3786-511681 (Silvia Belarde)</t>
  </si>
  <si>
    <t>H.A. Casita de los Abuelos</t>
  </si>
  <si>
    <t>Calle Guzmán S/N  Ituzaingó</t>
  </si>
  <si>
    <t>3786-457697 (Tomasa Gauto)</t>
  </si>
  <si>
    <t>Isla Apipé Grande San Antonio</t>
  </si>
  <si>
    <t>Isla Apipé Gde. San Antonio</t>
  </si>
  <si>
    <t>3786-610422 (Candelaria Vargas)</t>
  </si>
  <si>
    <t>Liga Ituzaingueña de Fútbol (para 6 clubes)</t>
  </si>
  <si>
    <t>C.P.M. Nº 21 "Mita Ñangareko - Ha"</t>
  </si>
  <si>
    <t>Ruta N°12 Villa Olivari - Ituzaingó</t>
  </si>
  <si>
    <t>3786-401215 (Paola salinas)</t>
  </si>
  <si>
    <t>Villa Olivari</t>
  </si>
  <si>
    <t>C.P.M. Nº 15 Ñangarecó Porá</t>
  </si>
  <si>
    <t>3 de Abril y Perú</t>
  </si>
  <si>
    <t>Comedor Eyú Karú Porá</t>
  </si>
  <si>
    <t>Av. San Martín (dentro del predio de Estación Sanitaria) Ana Galván / Graciela Insaurralde)</t>
  </si>
  <si>
    <t>3777-410483  (Ana Galván) /  3794-340123 (Graciela Insaurralde)</t>
  </si>
  <si>
    <t>Dto. de Lavalle</t>
  </si>
  <si>
    <t xml:space="preserve"> Gob. Martínez</t>
  </si>
  <si>
    <t>Espacio de Primera Infancia (EPI) "Dulces Sueños</t>
  </si>
  <si>
    <t>I.M. Lopez y Gral. Belgrano</t>
  </si>
  <si>
    <t xml:space="preserve">Merendero "Ministerio, Poder y Potencia de Dios" </t>
  </si>
  <si>
    <t>Municipalidad - Gdor. Martínez</t>
  </si>
  <si>
    <t>3777-312293 (Zunilda Martinez)</t>
  </si>
  <si>
    <t>Asociación Civil Barrio San Antonio</t>
  </si>
  <si>
    <t xml:space="preserve">Chacabuco y Sgto. Cabral - Andrea Ganduya </t>
  </si>
  <si>
    <t>3777-553562 (Valeria Aguirre)</t>
  </si>
  <si>
    <t>Lavalle</t>
  </si>
  <si>
    <t>Centro Laura Vicuña</t>
  </si>
  <si>
    <t>3777-734587 (Mirta Gómez)</t>
  </si>
  <si>
    <t>Comedor Mirta Centurión</t>
  </si>
  <si>
    <t>Mons. D`Andrea 132</t>
  </si>
  <si>
    <t>3777-228365 (Valeria Pintos)</t>
  </si>
  <si>
    <t>Comedor Vecinos Paraje</t>
  </si>
  <si>
    <t>La Loma</t>
  </si>
  <si>
    <t>3777-633668 (Verónica Ruiz Diaz)</t>
  </si>
  <si>
    <t>Delegación Desarrollo Social (Santa Lucía)</t>
  </si>
  <si>
    <t>Plácido Martínez y Colón - César Heine</t>
  </si>
  <si>
    <t>3777-681145 (César Heine)</t>
  </si>
  <si>
    <t>Santa Lucía</t>
  </si>
  <si>
    <t>Fundación "Pequeños Pasos"</t>
  </si>
  <si>
    <t>Sarmiento 274 - Santa Lucia</t>
  </si>
  <si>
    <t>3777-832080</t>
  </si>
  <si>
    <t>H.A. San Vicente de Paul (Santa Lucía)</t>
  </si>
  <si>
    <t>Corrientes 598</t>
  </si>
  <si>
    <t>3777-620734 (Norma Busellato)</t>
  </si>
  <si>
    <t>J.M. Abuela Josefina</t>
  </si>
  <si>
    <t>1000 Vdas. / Mz. B / Casa 7 - Santa Lucia</t>
  </si>
  <si>
    <t>3777-616888 (Mariangel Aquino)</t>
  </si>
  <si>
    <t>Merendero Santa Catalina</t>
  </si>
  <si>
    <t>Bº Santa Catalina - Cruz Mayor S/N</t>
  </si>
  <si>
    <t>3777-541427 (Susana Fernández)</t>
  </si>
  <si>
    <t>H.A. Ramón Añasco</t>
  </si>
  <si>
    <t>Alberdi y Alsina</t>
  </si>
  <si>
    <t>3782-512773 (Maria Duarte)</t>
  </si>
  <si>
    <t>Dto. de Mburucuyá</t>
  </si>
  <si>
    <t>Mburucuyá</t>
  </si>
  <si>
    <t>Juan Pablo II "Mburucuyá"</t>
  </si>
  <si>
    <t>Caá Catí 348 entre Belgrano y Moreno - Dpto. de Mburucuyá</t>
  </si>
  <si>
    <t>3794726424 (Soledad Aquere)</t>
  </si>
  <si>
    <t>Madres de Mburucuyá</t>
  </si>
  <si>
    <t>J.J.Silva y Lamadrid - Sr. Guastavino</t>
  </si>
  <si>
    <t>3782-546464 (Ramona Isabel Alvarez)</t>
  </si>
  <si>
    <t>Comedor María del Rosario (Mariano Loza - Mercedes)</t>
  </si>
  <si>
    <t>San Martín S/N -  Mariano Loza</t>
  </si>
  <si>
    <t>3773-470599 (Zulema Fernández)</t>
  </si>
  <si>
    <t>Dto. de Mercedes</t>
  </si>
  <si>
    <t>Mariano I. Loza</t>
  </si>
  <si>
    <t>Plan Verano 2026: BAJA</t>
  </si>
  <si>
    <t>APADEM (Asoc. Padres y Amigos del Discap. Mental)</t>
  </si>
  <si>
    <t>Sarmiento 256</t>
  </si>
  <si>
    <t>3773-468806 (Diana Patricia Martínez)</t>
  </si>
  <si>
    <t>Mercedes</t>
  </si>
  <si>
    <t>C.P.M. Nº 16 "Sagrado Corazón de Jesús"</t>
  </si>
  <si>
    <t>B° San Antonio - Benedicta Medina Chacra N° 41</t>
  </si>
  <si>
    <t>3773-463610 (Valeria Pauli)</t>
  </si>
  <si>
    <t>C.P.M. Nº 27 "Santa Rita"</t>
  </si>
  <si>
    <t>Pago Largo 1039</t>
  </si>
  <si>
    <t>3773-403002 (Jessica de Lucca)</t>
  </si>
  <si>
    <t>CPM Nueva Semilla</t>
  </si>
  <si>
    <t>Beltrán 612</t>
  </si>
  <si>
    <t>3773-450949 (Claudia Elías)</t>
  </si>
  <si>
    <t>Delegación Desarrollo Social (Mercedes)</t>
  </si>
  <si>
    <t>Av. San Martín entre Paraíso y Sta. Fe (Cel. 3773406627)</t>
  </si>
  <si>
    <t>H.A. Florencia Nigthingale</t>
  </si>
  <si>
    <t>Lacour 1123</t>
  </si>
  <si>
    <t>Institución Amas</t>
  </si>
  <si>
    <t>Batalla de Salta 503</t>
  </si>
  <si>
    <t>J.M. Niño Rhupá I</t>
  </si>
  <si>
    <t>Yatai y A. J. Pereyra</t>
  </si>
  <si>
    <t>3773-469101 (María Fernanda Ganduglia)</t>
  </si>
  <si>
    <t>J.M. Niño Rhupá II</t>
  </si>
  <si>
    <t>M.F. Mantilla 669 (Silvia Alezzandri)</t>
  </si>
  <si>
    <t>3773-418750 (Silvia Alezzandri)</t>
  </si>
  <si>
    <t>Liga Mercedeña de Fútbol  (Para 12 Clubes)</t>
  </si>
  <si>
    <t>Alfredo Ferreyra y Yataí</t>
  </si>
  <si>
    <t>3773-436313 (Víctor Gerardo Fernández)</t>
  </si>
  <si>
    <t>C.I.C. Sec. Des. Humano Monte Caseros</t>
  </si>
  <si>
    <t>C.I.C. Sec. Des. Humano Monte Caseros (ex Liga)</t>
  </si>
  <si>
    <t>El Maestro y Belgrano (Monte Caseros) (Cel. 3775404246)</t>
  </si>
  <si>
    <t>3775-404246 (Claudia Alvarez)</t>
  </si>
  <si>
    <t>Dto. de Monte Caseros</t>
  </si>
  <si>
    <t>Monte Caseros</t>
  </si>
  <si>
    <t>H.A. Casa Bienestar del Anciano</t>
  </si>
  <si>
    <t>Eva Duarte de Perón 333</t>
  </si>
  <si>
    <t>3775-410943 (Soraya Cusinato)</t>
  </si>
  <si>
    <t>J.M. "Jesús de Nazareth"</t>
  </si>
  <si>
    <t>Salta 102</t>
  </si>
  <si>
    <t>Comedor Infantil Paso de Libres</t>
  </si>
  <si>
    <t>Pje.Castro 1675 - Paso de los Libres</t>
  </si>
  <si>
    <t>3772-706985 (Andre Fernandez)</t>
  </si>
  <si>
    <t>Dto. de Paso de los Libres</t>
  </si>
  <si>
    <t>Paso de los Libres</t>
  </si>
  <si>
    <t>Delegacion de Paso de los Libres</t>
  </si>
  <si>
    <t>Félix María Gómez y A. Rojas (al lado Comisaria 3º)</t>
  </si>
  <si>
    <t>3772-408771 (Matias Velasco)</t>
  </si>
  <si>
    <t>Fund. de Encuen. para el Desarrollo Integral</t>
  </si>
  <si>
    <t>B° Facundo Quiroga Mz A Casa 13 y Av 2 de abril</t>
  </si>
  <si>
    <t>3772-255357 (Perez Ramon Armando)</t>
  </si>
  <si>
    <t>H.A. Gregoria M. de San Martín</t>
  </si>
  <si>
    <t>C.I.P.I. Nº 1 "Ardillitas"</t>
  </si>
  <si>
    <t>Barrio Doctor Paiva</t>
  </si>
  <si>
    <t>3772-430334 (Duarte Churrua Daniela)</t>
  </si>
  <si>
    <t>C.P.M. Nº 13 "Nuestra Señora de la Merced"</t>
  </si>
  <si>
    <t>Barrio La Merced</t>
  </si>
  <si>
    <t>3772-618312 (Legazpia Raul Antonio)</t>
  </si>
  <si>
    <t>C.P.M. Nº 7 "Mitaí"</t>
  </si>
  <si>
    <t>Barrio Capilla Sagrado Corazón</t>
  </si>
  <si>
    <t>3772-462635 (Acuña Mariana Ayelen)</t>
  </si>
  <si>
    <t>C.P.M. Nº 8 "Cruz de Los Milagros"</t>
  </si>
  <si>
    <t>Barrio Cruz de Los Milagros</t>
  </si>
  <si>
    <t>3772-504600 (Gordillo Walter Adrian)</t>
  </si>
  <si>
    <t>C.P.M. Nº 9 "Santa María"</t>
  </si>
  <si>
    <t>Ferreyra S/N</t>
  </si>
  <si>
    <t>3772-409038 (Niveyro Silvio Antonio)</t>
  </si>
  <si>
    <t>Centro de Día "Un Niño me Llama"</t>
  </si>
  <si>
    <t>Mitre 1150</t>
  </si>
  <si>
    <t>3772-430473 (Depacce Genaro)</t>
  </si>
  <si>
    <t>Yatai 655 - Paso de los Libres</t>
  </si>
  <si>
    <t>3772-635612 (Pamela Niveyro)</t>
  </si>
  <si>
    <t>J.M. Blancanieves</t>
  </si>
  <si>
    <t>Mitre 975 - Paso de los Libres</t>
  </si>
  <si>
    <t>3772-502225 (Mouesca Silvina)</t>
  </si>
  <si>
    <t>Liga Libreña de Fútbol - Deleg. Secr. de Des. Humano</t>
  </si>
  <si>
    <t>Belgrano y Coronel Regera</t>
  </si>
  <si>
    <t>3772-514212 (Javier Vallejos)</t>
  </si>
  <si>
    <t>Comedor Doña China</t>
  </si>
  <si>
    <t>Biblioteca Popular Ramón Barboza</t>
  </si>
  <si>
    <t>Tapebicuá</t>
  </si>
  <si>
    <t>Centro de Día "Ñanderoga"</t>
  </si>
  <si>
    <t>Florida 1147</t>
  </si>
  <si>
    <t>3782-454305 (Miriam Romero)</t>
  </si>
  <si>
    <t>Dto. de Saladas</t>
  </si>
  <si>
    <t>Saladas</t>
  </si>
  <si>
    <t>Sarmiento 687 - Saladas</t>
  </si>
  <si>
    <t>3782-609770 (Luis Humberto Diez)</t>
  </si>
  <si>
    <t>Merendero "Congregación Cristiana" - Paso de la Patria</t>
  </si>
  <si>
    <t>Rivadavia e/Salta y Bs.As. - Paso de la Patria</t>
  </si>
  <si>
    <t>3794-056683 (Gustavo Sanchez)</t>
  </si>
  <si>
    <t>Dto. de San Cosme</t>
  </si>
  <si>
    <t>Paso de la Patria</t>
  </si>
  <si>
    <t>Nueva Esperanza</t>
  </si>
  <si>
    <t>CIC Bº Matadero (Jimena Vallejos)</t>
  </si>
  <si>
    <t>3794-338952 (Jimena Vallejos)</t>
  </si>
  <si>
    <t>San Cosme</t>
  </si>
  <si>
    <t>Merendero Medalla Milagrosa</t>
  </si>
  <si>
    <t>Merendero Medalla Milagrosa (Pamela Barrios)</t>
  </si>
  <si>
    <t>Barrio Santa Ana</t>
  </si>
  <si>
    <t>3794-694402 (Pamela Barrios)</t>
  </si>
  <si>
    <t>Santa Ana</t>
  </si>
  <si>
    <t>C.P.M. N° 18 "San Luisito"</t>
  </si>
  <si>
    <t>Mitre y Berón de Astrada - H.A. San Luisito</t>
  </si>
  <si>
    <t>3794-062849 (Ayelen Fernandez)</t>
  </si>
  <si>
    <t>Dto. de San Luis del Palmar</t>
  </si>
  <si>
    <t>San Luis del Palmar</t>
  </si>
  <si>
    <t>H.A. San Luisito</t>
  </si>
  <si>
    <t>Mitre y Berón de Astrada</t>
  </si>
  <si>
    <t>3624-515998 (Angelica Aldavez)</t>
  </si>
  <si>
    <t>Delegación Acción Social S.L.P.</t>
  </si>
  <si>
    <t>Rivadavia y H. Amarilla</t>
  </si>
  <si>
    <t>3794-594111 (Marta Roa)/ 3794-027347 (Elsa Viviana Pavón)</t>
  </si>
  <si>
    <t>Primera Sección - San Luis del Palmar</t>
  </si>
  <si>
    <t>3795-076137 (Nelida Aguirre)</t>
  </si>
  <si>
    <t>Lomas de González</t>
  </si>
  <si>
    <t>3794-344213 (Rocio Gomez )</t>
  </si>
  <si>
    <t>Rincón Navarro</t>
  </si>
  <si>
    <t>3794-590348 (Sonia acuña)</t>
  </si>
  <si>
    <t>C.P.M. Nº 12 "Nuestra Señora de Fátima"</t>
  </si>
  <si>
    <t>Barrio Centenario - La Cruz</t>
  </si>
  <si>
    <t>Dto. de San Martín</t>
  </si>
  <si>
    <t>La Cruz</t>
  </si>
  <si>
    <t>H.A. Roberto Grenni</t>
  </si>
  <si>
    <t>Goya y Bartolomé Mitre - La Cruz - San Martin</t>
  </si>
  <si>
    <t>J.M. Centro Comunitario San Tarcisio</t>
  </si>
  <si>
    <t>Barrio Unión 848 - La Cruz</t>
  </si>
  <si>
    <t>Asociación Centro de Discapacitados</t>
  </si>
  <si>
    <t>Mitre 840 / Loreto</t>
  </si>
  <si>
    <t>3795-588780 (Miriam Beatriz Medina)</t>
  </si>
  <si>
    <t>Dto. de San Miguel</t>
  </si>
  <si>
    <t xml:space="preserve"> Loreto</t>
  </si>
  <si>
    <t>Asociación Civil Juventud Loretana</t>
  </si>
  <si>
    <t xml:space="preserve">25 de mayo S/N </t>
  </si>
  <si>
    <t>3794-287761 (Orlando Maidana)</t>
  </si>
  <si>
    <t>H.A. San Benito</t>
  </si>
  <si>
    <t>Jujuy 324 - Loreto</t>
  </si>
  <si>
    <t>3795-041166 (Norma Ramírez)</t>
  </si>
  <si>
    <t>Merendero "Angel Fermisito"</t>
  </si>
  <si>
    <t>Julián González 449 B° Centro</t>
  </si>
  <si>
    <t>3795-014755 (Gisela Rodríguez)</t>
  </si>
  <si>
    <t>Parr. Ntra. Sra de Loreto</t>
  </si>
  <si>
    <t>Parroquia Nuestra Señora de Loreto</t>
  </si>
  <si>
    <t>Sabes Gallardo S/N  - Loreto</t>
  </si>
  <si>
    <t>3794-238342 (Garcia Cinthya)</t>
  </si>
  <si>
    <t>Asociación Civil Club Social y Deportivo Gaucho Gil</t>
  </si>
  <si>
    <t>Cnia. El Caimán Ruta Nac. 118 km 116 (cabina de teléfono)</t>
  </si>
  <si>
    <t>3794-750511 (Sergio Miño)</t>
  </si>
  <si>
    <t>Cnia. El Caimán</t>
  </si>
  <si>
    <t>Iglesia Renacer</t>
  </si>
  <si>
    <t>Bartolomé Mitre y Salta s/n</t>
  </si>
  <si>
    <t>Alfonzo Walter Cel: 3794-665175/ Alegre Carina, Cel: 3794-597317</t>
  </si>
  <si>
    <t>Loreto</t>
  </si>
  <si>
    <t>C.C.I. Virgen de Itatí­</t>
  </si>
  <si>
    <t>San Miguel</t>
  </si>
  <si>
    <t>C.P.M. Nº 17 "San Miguelito"</t>
  </si>
  <si>
    <t>Albergue Deportivo</t>
  </si>
  <si>
    <t>3781-419321 (Veronica Edith Damasco)</t>
  </si>
  <si>
    <t>Casita Verde</t>
  </si>
  <si>
    <t>Salta s/n (Vega: 3794402417) (San Miguel) (Cel. 3794668699 - Bordon)</t>
  </si>
  <si>
    <t>3794-668699 (Carlos Bordon)</t>
  </si>
  <si>
    <t xml:space="preserve">Centro Integral Municipal Sagrado Corazón </t>
  </si>
  <si>
    <t>Fundación Colibrí Iberá</t>
  </si>
  <si>
    <t xml:space="preserve">AV. SAN MARTIN S/N. </t>
  </si>
  <si>
    <t>(3794-405985) ANA FIGUEROA</t>
  </si>
  <si>
    <t>C.P.M. Nº 33 Angel de la Guarda</t>
  </si>
  <si>
    <t>San Martín y Berón de Astrada - 9 de Julio</t>
  </si>
  <si>
    <t>3777-735319 (Pabla Gutierrez)</t>
  </si>
  <si>
    <t>Dto. de San Roque</t>
  </si>
  <si>
    <t>9 de Julio</t>
  </si>
  <si>
    <t>Centro de Protección al Menor</t>
  </si>
  <si>
    <t>C.P.M. Nº 30 San Pedro</t>
  </si>
  <si>
    <t>Club Marco Paz - Chavarria</t>
  </si>
  <si>
    <t>3773-415537 (Nilda Araceli Porcel)</t>
  </si>
  <si>
    <t>Chavarría</t>
  </si>
  <si>
    <t>H.A. Pedro José de Marchi</t>
  </si>
  <si>
    <t>Pedro R. Fernandez S/N - Mantilla</t>
  </si>
  <si>
    <t>Mantilla</t>
  </si>
  <si>
    <t>San Roque</t>
  </si>
  <si>
    <t>H.A. San Roque de Montpellier</t>
  </si>
  <si>
    <t>C.P.M. Nº 23 "Pomberito" (Anexo C.I.P.I. Nº 7 "Topo Gigio")</t>
  </si>
  <si>
    <t>3777-245786 (Liseth Penzo)</t>
  </si>
  <si>
    <t>Comedor Vecinos Barrio 30 Viviendas y Ayuda mutua</t>
  </si>
  <si>
    <t>San Martin 1005</t>
  </si>
  <si>
    <t>3777-246205 (Lidia Baéz)</t>
  </si>
  <si>
    <t>MERENDERO ANGEL DE LA GUARDA</t>
  </si>
  <si>
    <t xml:space="preserve">Bº ARROYITO - BERON DE ASTRADA 820 </t>
  </si>
  <si>
    <t>3777506248 (SOTELO ZUNILDA ISABEL)</t>
  </si>
  <si>
    <t>Comedor Manito Solidaria</t>
  </si>
  <si>
    <t>Bº CESAREO NAVAJAS CALLE ARTURO ILLIA 1497 - CACERES NOELIA NORALI D.N.I. 36319504</t>
  </si>
  <si>
    <t>3756-463681 (Stefi Ifran)</t>
  </si>
  <si>
    <t>Dto. de Santo Tomé</t>
  </si>
  <si>
    <t>Gob. Virasoro</t>
  </si>
  <si>
    <t>H.A. Madre Teresa (Virasoro)</t>
  </si>
  <si>
    <t>C.P.M. Nº 24 "Senderito de Luz"</t>
  </si>
  <si>
    <t>Barrio 81 Viviendas</t>
  </si>
  <si>
    <t>H.A. Madre Teresa</t>
  </si>
  <si>
    <t>Barrio 128 Vdas. / Casa 2 - El Toro</t>
  </si>
  <si>
    <t>3756-430830 (Sonia)</t>
  </si>
  <si>
    <t>H.T. Santa Teresita</t>
  </si>
  <si>
    <t>Barrio 40 Viviendas / Casa 7</t>
  </si>
  <si>
    <t>3574-403754 (Graciela Correa)</t>
  </si>
  <si>
    <t>J.M. Niño Rhupá</t>
  </si>
  <si>
    <t>325 Viviendas - Virasoro</t>
  </si>
  <si>
    <t>J.M. Pequeño Mundo</t>
  </si>
  <si>
    <t>Barrio Unión Sepac - Virasoro</t>
  </si>
  <si>
    <t>Liga Virasoro de Fútbol (Para 8 Clubes)</t>
  </si>
  <si>
    <t>Robert Shumtin e Hipólito Irigoyen</t>
  </si>
  <si>
    <t>Merendero Los Gurises de Virasoro</t>
  </si>
  <si>
    <t>B° Belgrano Mz 133 calle Juan Curi entre Remedio de Escalada y Manuel Ocampo</t>
  </si>
  <si>
    <t>3795-003096 (José Luis Aquino)</t>
  </si>
  <si>
    <t>Merendero Los Ñanducitos</t>
  </si>
  <si>
    <t xml:space="preserve"> B° Vuelta del Ombú - Héroes de Malvinas Tomás Polonio Ávalos </t>
  </si>
  <si>
    <t>3758-433771 (Jorge Terrile)</t>
  </si>
  <si>
    <t>Asociación Argentina Misionera</t>
  </si>
  <si>
    <t>Iglesia de Dios</t>
  </si>
  <si>
    <t>Santo Tomé</t>
  </si>
  <si>
    <t>Delegación de Desarrollo Social Santo Tomé</t>
  </si>
  <si>
    <t>Hipólito Yrigoyen 876</t>
  </si>
  <si>
    <t>3756-417328 (Augusto Suaid)</t>
  </si>
  <si>
    <t>H.A. Dr. Roman Itoiz</t>
  </si>
  <si>
    <t>C.P.M. Nº 6 "Virgen de Itatí" Anexo CIPI Nº 7 Pinocho</t>
  </si>
  <si>
    <t>Barrio Hormiguero, ex Escuela Redonda</t>
  </si>
  <si>
    <t>Angel Blanco y Pueyrredón</t>
  </si>
  <si>
    <t>H.N. San Francisco de Asís</t>
  </si>
  <si>
    <t>Pje. Atalaya / Colonia Gobernador</t>
  </si>
  <si>
    <t>Liga Santotomeña de Fútbol (para 13 clubes)</t>
  </si>
  <si>
    <t>Brasil y C. Pellegrini</t>
  </si>
  <si>
    <t>3756-568184 (Kevin Quiróz)</t>
  </si>
  <si>
    <t>H.A. Sagrado Corazón de Jesús</t>
  </si>
  <si>
    <t>Belgrano y San Martín</t>
  </si>
  <si>
    <t>3774-631704 (Ojeda Onelia)</t>
  </si>
  <si>
    <t>Dto. de Sauce</t>
  </si>
  <si>
    <t>Sauce</t>
  </si>
  <si>
    <t>H.N. San Benito</t>
  </si>
  <si>
    <t>Bartolomé Mitre S/N</t>
  </si>
  <si>
    <t>CONTAMOS CON 6 DELEGACIONES EN EL INTERIOR</t>
  </si>
  <si>
    <t>NOMINA DE COMEDORES, MERENDEROS Y OTRAS INSTITUCIONES</t>
  </si>
  <si>
    <t>ORD</t>
  </si>
  <si>
    <t>Nº</t>
  </si>
  <si>
    <t>COMEDOR</t>
  </si>
  <si>
    <t>DOMICILIO</t>
  </si>
  <si>
    <t>RESPONSABLE</t>
  </si>
  <si>
    <t>DNI</t>
  </si>
  <si>
    <t>ENLANCE GOOGLE MAPS</t>
  </si>
  <si>
    <t>COORDENADAS</t>
  </si>
  <si>
    <t>DEPENDENCIA INMUEBLE</t>
  </si>
  <si>
    <t>Santa Rita</t>
  </si>
  <si>
    <t>Bº Apipe - Colodrero Y Sicilia</t>
  </si>
  <si>
    <t>Bogado Rosario</t>
  </si>
  <si>
    <t>https://maps.app.goo.gl/9GJ4P8Y6xkvLk6nu6</t>
  </si>
  <si>
    <t>27°27'31.1"S 58°46'59.1"W</t>
  </si>
  <si>
    <t xml:space="preserve">COMEDOR OFICIAL </t>
  </si>
  <si>
    <t>Medalla Milagrosa</t>
  </si>
  <si>
    <t>Bº Collante, Ruta 12 Km 4</t>
  </si>
  <si>
    <t>Medina Pedro Aleberto</t>
  </si>
  <si>
    <t>https://maps.app.goo.gl/pUKhgYG32eZqXao27</t>
  </si>
  <si>
    <t>27°28'25.0"S 58°45'59.0"W</t>
  </si>
  <si>
    <t>COMEDOR SOLIDARIO</t>
  </si>
  <si>
    <t>Niño Travieso</t>
  </si>
  <si>
    <t>Bº Santa Lucia , Ramos Mejia Y Verona</t>
  </si>
  <si>
    <t>Barrientos Yolanda</t>
  </si>
  <si>
    <t>https://maps.app.goo.gl/etKK8HNfpeB2iBjV9</t>
  </si>
  <si>
    <t>27°29'39.1"S 58°47'27.1"W</t>
  </si>
  <si>
    <t>Capes Sonua</t>
  </si>
  <si>
    <t>Bº Belgrano Belgrano 2898</t>
  </si>
  <si>
    <t xml:space="preserve">Gomez Lidia Del Carmen </t>
  </si>
  <si>
    <t>https://maps.app.goo.gl/haEbJ88L9EoenhaCA</t>
  </si>
  <si>
    <t>27°28'26.5"S 58°48'54.3"W</t>
  </si>
  <si>
    <t>La Tosquera</t>
  </si>
  <si>
    <t>Bº RIO PARANA - CABO DE HORNOS Y ANT. ARGENTINA (COM. 3 DE ABRIL)</t>
  </si>
  <si>
    <t>Ojeda Zulma  Elizabet</t>
  </si>
  <si>
    <t>https://maps.app.goo.gl/6c9NGSiHPhwe7PBq8</t>
  </si>
  <si>
    <t>27°30'56.6"S 58°49'45.1"W</t>
  </si>
  <si>
    <t>Santa Lucia</t>
  </si>
  <si>
    <t>B Galvan, Rio Iguazu y Garcilazo de la Vega</t>
  </si>
  <si>
    <t>Vallejos Esther</t>
  </si>
  <si>
    <t>https://maps.app.goo.gl/U7B35h676yDcNbir7</t>
  </si>
  <si>
    <t>27°30'20.1"S 58°48'14.7"W</t>
  </si>
  <si>
    <t>Filadelfia</t>
  </si>
  <si>
    <t>Bº San Geronimo   Domingo Lastra Nº 770</t>
  </si>
  <si>
    <t>Cuenca Ramon de Jesus</t>
  </si>
  <si>
    <t>https://maps.app.goo.gl/icB6kmM3QJMnkvaE9</t>
  </si>
  <si>
    <t>27°28'17.0"S 58°47'21.5"W</t>
  </si>
  <si>
    <t>Fundacion Evita</t>
  </si>
  <si>
    <t>Bº Arazati,  3 De Abril 38</t>
  </si>
  <si>
    <t>Martinez Metzger Lucia</t>
  </si>
  <si>
    <t>https://maps.app.goo.gl/tmv5ucMuU3TWH3cd9</t>
  </si>
  <si>
    <t>27°28'26.2"S 58°51'12.5"W</t>
  </si>
  <si>
    <t>COMEDOR INSTITUCIONAL: ONG</t>
  </si>
  <si>
    <t>Santa Lucia II</t>
  </si>
  <si>
    <t>B 17 de agosto, sector 9 mza 53 c 16</t>
  </si>
  <si>
    <t>Paola Benitez</t>
  </si>
  <si>
    <t>https://maps.app.goo.gl/jbuSNioBgwk83hiS6</t>
  </si>
  <si>
    <t>27°29'27.0"S 58°47'23.2"W</t>
  </si>
  <si>
    <t>Caridi</t>
  </si>
  <si>
    <t>Bº Caridi - Suipacha Nª 2200</t>
  </si>
  <si>
    <t>Lidia Miranda</t>
  </si>
  <si>
    <t>https://maps.app.goo.gl/u3FRnAnYKJ3D98iu5</t>
  </si>
  <si>
    <t>27°28'51.3"S 58°51'05.6"W</t>
  </si>
  <si>
    <t>COMEDOR INSTITUCIONAL: CENTRO COMUNITARIO INFANTIL</t>
  </si>
  <si>
    <t>Pequeño Rebaño</t>
  </si>
  <si>
    <t>Bºcolombia Granadero,Calle Garcia De Cossio 2755</t>
  </si>
  <si>
    <t>Bazante Sandra T. Del .C.</t>
  </si>
  <si>
    <t>https://maps.app.goo.gl/b2yvXJMdSVN2cXvL6</t>
  </si>
  <si>
    <t>27°29'07.2"S 58°49'07.3"W</t>
  </si>
  <si>
    <t>Iglesia Filadelfia</t>
  </si>
  <si>
    <t>Bº Dr Montaña Jose M. Aguirre S/N</t>
  </si>
  <si>
    <t>Pare Maria Gabriela</t>
  </si>
  <si>
    <t>https://maps.app.goo.gl/ecAwvCP6BpDBD11B8</t>
  </si>
  <si>
    <t>27°31'47.8"S 58°47'26.1"W</t>
  </si>
  <si>
    <t>COMEDOR INSTITUCIONAL: IGLESIA EVANGELICA</t>
  </si>
  <si>
    <t>Los Dalmatas</t>
  </si>
  <si>
    <t>Bº Dr. Montaña,Mz 64 C 34</t>
  </si>
  <si>
    <t>Sanchez Maria Mercedes</t>
  </si>
  <si>
    <t>https://maps.app.goo.gl/a78vkU3ghNxyr6767</t>
  </si>
  <si>
    <t>27°31'18.8"S 58°47'20.4"W</t>
  </si>
  <si>
    <t>Maria Eva Y Juan Manuel</t>
  </si>
  <si>
    <t>Bº Dr. Montaña, Conte Y Lara</t>
  </si>
  <si>
    <t xml:space="preserve">Montiel Maria </t>
  </si>
  <si>
    <t>https://maps.app.goo.gl/aLxHuFhQMM54VgSTA</t>
  </si>
  <si>
    <t>27°31'31.0"S 58°47'38.7"W</t>
  </si>
  <si>
    <t>Santa Cecilia</t>
  </si>
  <si>
    <t>Bº Quintana - Julio Verne Y Renacimiento 142 V MB C8</t>
  </si>
  <si>
    <t>Ramirez Silvia</t>
  </si>
  <si>
    <t>https://maps.app.goo.gl/9mNK7f5jkB7q8uU66</t>
  </si>
  <si>
    <t>27°30'27.7"S 58°47'38.7"W</t>
  </si>
  <si>
    <t>Maria Auxiliadora</t>
  </si>
  <si>
    <t>Bº Galvan Sec 1 C11. Piragini Niveyro Y Av. Alberdi</t>
  </si>
  <si>
    <t>Lopez Norma</t>
  </si>
  <si>
    <t>https://maps.app.goo.gl/r7sUUNskNm5g2TqD8</t>
  </si>
  <si>
    <t>27°29'07.9"S 58°50'49.0"W</t>
  </si>
  <si>
    <t>Virgen Del Carmen</t>
  </si>
  <si>
    <t>Bº Virgen De Los Dolores Mz 2 C11</t>
  </si>
  <si>
    <t>Yedro Elva Itati</t>
  </si>
  <si>
    <t>https://maps.app.goo.gl/7en9CPFa2mzxHYct7</t>
  </si>
  <si>
    <t>27°29'19.9"S 58°51'14.6"W</t>
  </si>
  <si>
    <t>Maravillas De Jesus</t>
  </si>
  <si>
    <t>Bº Industrial Valentin Gomez 55</t>
  </si>
  <si>
    <t>Antonio Vandecaveye</t>
  </si>
  <si>
    <t>https://maps.app.goo.gl/ExBzfGdbW7k5rweVA</t>
  </si>
  <si>
    <t>27°27'41.6"S 58°47'16.4"W</t>
  </si>
  <si>
    <t>Los Mellizos</t>
  </si>
  <si>
    <t>Bº Taitalo Punta Y Rio Parana</t>
  </si>
  <si>
    <t>LENCINA MARTA DERL CARMEN</t>
  </si>
  <si>
    <t>https://maps.app.goo.gl/rCCqTe72gfRxe6Q5A</t>
  </si>
  <si>
    <t>27°25'58.9"S 58°46'44.4"W</t>
  </si>
  <si>
    <t>EBENESER</t>
  </si>
  <si>
    <t>B° Merceditas Collantes, mza 3 casa 6</t>
  </si>
  <si>
    <t>Sanchez Teresita Mirta</t>
  </si>
  <si>
    <t>https://maps.app.goo.gl/fUgvv3iM1UL2F4Fj9</t>
  </si>
  <si>
    <t>27°27'57.5"S 58°46'01.2"W</t>
  </si>
  <si>
    <t>El Pasito</t>
  </si>
  <si>
    <t>Bº Seminario Ee.Uu. Y Rio Parana</t>
  </si>
  <si>
    <t>Ramirez Ramon</t>
  </si>
  <si>
    <t>https://maps.app.goo.gl/txjuPhtpc78h9NWc9</t>
  </si>
  <si>
    <t>27°27'44.2"S 58°48'42.0"W</t>
  </si>
  <si>
    <t>COMEDOR INSTITUCIONAL: CREDO GLESIA CATOLICA</t>
  </si>
  <si>
    <t xml:space="preserve">Asoc. Fotos Del Alma </t>
  </si>
  <si>
    <t>Bº Ex Aero Club   Sarmiento  Nº 2958</t>
  </si>
  <si>
    <t xml:space="preserve">Jokmanovich Rossana </t>
  </si>
  <si>
    <t>https://maps.app.goo.gl/JB6nFdKgCyASWB3P7</t>
  </si>
  <si>
    <t>27°29'31.7"S 58°49'54.1"W</t>
  </si>
  <si>
    <t>COMEDOR INSTITUCIONAL: ASOCIACION CIVIL</t>
  </si>
  <si>
    <t>Nstra Sra De Fatima</t>
  </si>
  <si>
    <t>Bº Juan De Vera, Balboa 2900</t>
  </si>
  <si>
    <t>Silva Benitez Patricia Maria Cristina</t>
  </si>
  <si>
    <t>https://maps.app.goo.gl/obcGAW9qLHXzQWG27</t>
  </si>
  <si>
    <t>-27.48994409011028, -58.84469054640268</t>
  </si>
  <si>
    <t>COMEDOR INSTITUCIONAL: CREDO IGLESIA CATOLICA</t>
  </si>
  <si>
    <t>Virgen De Itati</t>
  </si>
  <si>
    <t>Bº Laguna Soto</t>
  </si>
  <si>
    <t>Navarro Mercedes</t>
  </si>
  <si>
    <t>https://maps.app.goo.gl/1YSG5NuvBptXzUeP9</t>
  </si>
  <si>
    <t>27°27'26.0"S 58°44'21.5"W</t>
  </si>
  <si>
    <t>Pequeño Pony</t>
  </si>
  <si>
    <t>Bº Laguna Brava, Calle 6 De Mayo Y Morcito Acuña</t>
  </si>
  <si>
    <t>Roldan Antonia</t>
  </si>
  <si>
    <t>https://maps.app.goo.gl/XnvSKSuDYwrwk3Rk7</t>
  </si>
  <si>
    <t>https://maps.app.goo.gl/6hBUB4av1uvpABETA</t>
  </si>
  <si>
    <t>Laguna Pampin</t>
  </si>
  <si>
    <t>Bº Laguna Pampin Detrás De La Esc 599</t>
  </si>
  <si>
    <t>Morales Antonia</t>
  </si>
  <si>
    <t>https://maps.app.goo.gl/j1ETJUbu5P6jwpjW6</t>
  </si>
  <si>
    <t>27°29'00.4"S 58°46'04.6"W</t>
  </si>
  <si>
    <t>San Pantaleon</t>
  </si>
  <si>
    <t>Bº Laguna Seca, Resoagli Y Pitagoras</t>
  </si>
  <si>
    <t>Figueredo Claudia</t>
  </si>
  <si>
    <t>https://maps.app.goo.gl/BLEh6RVu9phqoJ7D8</t>
  </si>
  <si>
    <t>-27.491475308337144, -58.80463927116336</t>
  </si>
  <si>
    <t>COMEDOR INSTITUCIONAL: CREDO:IGLESIA CATOLICA</t>
  </si>
  <si>
    <t>La Sagrada Familia II</t>
  </si>
  <si>
    <t>Bº 17 De Agosto, 25 Vdas-G2-C. 22</t>
  </si>
  <si>
    <t>Acosta David Sixto</t>
  </si>
  <si>
    <t>https://maps.app.goo.gl/JidT7et4Q6Uc5PmY8</t>
  </si>
  <si>
    <t>27°29'32.6"S 58°47'23.3"W</t>
  </si>
  <si>
    <t>Emanuel</t>
  </si>
  <si>
    <t>Bº Laguna Seca Rio Janeiro 4592</t>
  </si>
  <si>
    <t>Perez Ricardo</t>
  </si>
  <si>
    <t>https://maps.app.goo.gl/WMcBfcFFDnZZiYGH9</t>
  </si>
  <si>
    <t>27°29'36.6"S 58°48'00.3"W</t>
  </si>
  <si>
    <t>Loma Linda</t>
  </si>
  <si>
    <t>Bº Loma Linda, Guemes 2600</t>
  </si>
  <si>
    <t>Gonzalez Norma</t>
  </si>
  <si>
    <t>https://maps.app.goo.gl/MYV2tZQRmtRBpLSm9</t>
  </si>
  <si>
    <t>27°29'24.0"S 58°48'34.1"W</t>
  </si>
  <si>
    <t>Santa Isabel</t>
  </si>
  <si>
    <t>Bº Sta Rita Calle Nº 1Banda Norte 2 Cuad Y Media Ruta Nº 5 Pegado Ccha De Futbol</t>
  </si>
  <si>
    <t>Lopez Pedro</t>
  </si>
  <si>
    <t>https://maps.app.goo.gl/kaj13S63XvSNpZnCA</t>
  </si>
  <si>
    <t>27°29'07.2"S 58°45'46.6"W</t>
  </si>
  <si>
    <t>Hectorcito</t>
  </si>
  <si>
    <t>Bºmolina Punta ,136Viv. Lote 18</t>
  </si>
  <si>
    <t>Nuñez Antonia</t>
  </si>
  <si>
    <t>https://maps.app.goo.gl/mUCorNBRMSzRP6eD9</t>
  </si>
  <si>
    <t>27°27'44.7"S 58°46'37.7"W</t>
  </si>
  <si>
    <t>Islas Malvinas</t>
  </si>
  <si>
    <t>Bºmolina Punta, Antilla Y Pasionaria A Lado. Asoc Ladri.</t>
  </si>
  <si>
    <t>Mancedo Mirta De Jesus</t>
  </si>
  <si>
    <t>https://maps.app.goo.gl/rfEtb1NirnFvH6yq9</t>
  </si>
  <si>
    <t>27°26'58.1"S 58°47'09.8"W</t>
  </si>
  <si>
    <t>Taitalo Punta</t>
  </si>
  <si>
    <t>Bº Molina Punta, Taitalo S/Nº</t>
  </si>
  <si>
    <t>Gutierrez Ramon</t>
  </si>
  <si>
    <t>https://maps.app.goo.gl/jaMcK1TtUufZShvt6</t>
  </si>
  <si>
    <t>Virgen Desatanudos</t>
  </si>
  <si>
    <t>Bº Cadenas Sur, Lote 19 Sec 38</t>
  </si>
  <si>
    <t>Molina Jose Ramon</t>
  </si>
  <si>
    <t>https://maps.app.goo.gl/2d4Q3KRHaaCKjrS26</t>
  </si>
  <si>
    <t>27°29'38.2"S 58°45'01.2"W</t>
  </si>
  <si>
    <t>Guadalupe</t>
  </si>
  <si>
    <t>Bº Parque Cadena  Norte  Mz 5 Lote 4 Y 5</t>
  </si>
  <si>
    <t>Lencina Mario</t>
  </si>
  <si>
    <t>https://maps.app.goo.gl/VDFDkuTmyG67eKcVA</t>
  </si>
  <si>
    <t>27°28'38.0"S 58°45'21.9"W</t>
  </si>
  <si>
    <t>San Camilo De Lelis</t>
  </si>
  <si>
    <t>Bº Sol De Mayo Angel Navea Y 20 De Mayo</t>
  </si>
  <si>
    <t>Franco Clara</t>
  </si>
  <si>
    <t>https://maps.app.goo.gl/zkyNjFPMpEzFgRAR6</t>
  </si>
  <si>
    <t>27°27'43.3"S 58°48'16.3"W</t>
  </si>
  <si>
    <t>Mis Niñitos</t>
  </si>
  <si>
    <t>Calle Cuarto Centenario 2892</t>
  </si>
  <si>
    <t>Cabral Ruben Dario</t>
  </si>
  <si>
    <t>https://maps.app.goo.gl/JSimrnSHg7PMSqor7</t>
  </si>
  <si>
    <t>27°29'26.5"S 58°50'17.7"W</t>
  </si>
  <si>
    <t>COMEDOR INSTITUCIONAL: C.D.I</t>
  </si>
  <si>
    <t>Pokemon</t>
  </si>
  <si>
    <t>Bº Pirayui , Cuba Y Turin</t>
  </si>
  <si>
    <t>Cabrera Elena Rosa</t>
  </si>
  <si>
    <t>https://maps.app.goo.gl/AZrcZSrQMBwsW3VR7</t>
  </si>
  <si>
    <t>27°30'19.0"S 58°47'09.0"W</t>
  </si>
  <si>
    <t>Carita Sucia</t>
  </si>
  <si>
    <t>Bº Placido Martinez  A. Bompland 200 S E Casa 22</t>
  </si>
  <si>
    <t>Vallejos Rita Isabel</t>
  </si>
  <si>
    <t>https://maps.app.goo.gl/wszjzVY7WiJq6go78</t>
  </si>
  <si>
    <t>27°27'49.6"S 58°48'31.9"W</t>
  </si>
  <si>
    <t>Nstra. Sra. De Lujan</t>
  </si>
  <si>
    <t>Bº PONCE, Ruta 5 Km 1 - Calle Romulo Arturo</t>
  </si>
  <si>
    <t>Almiron Marisa Beatriz</t>
  </si>
  <si>
    <t>https://maps.app.goo.gl/UKtGucMZXLmpMFrt7</t>
  </si>
  <si>
    <t>27°29'28.6"S 58°46'11.5"W</t>
  </si>
  <si>
    <t xml:space="preserve">Pueblito Bs As </t>
  </si>
  <si>
    <t>Bº Pueblito Bs As Pje Olivos 4315</t>
  </si>
  <si>
    <t>Lescano Vilma</t>
  </si>
  <si>
    <t>https://maps.app.goo.gl/xPBirekoBz6fEwXT7</t>
  </si>
  <si>
    <t>27°29'22.8"S 58°48'36.3"W</t>
  </si>
  <si>
    <t>Sagrada Familia</t>
  </si>
  <si>
    <t>Bº Quilmes, Zarate 3400</t>
  </si>
  <si>
    <t>Lopez Miranda Micaela</t>
  </si>
  <si>
    <t>https://maps.app.goo.gl/rkoNGjWVbawipgim9</t>
  </si>
  <si>
    <t>27°29'40.2"S 58°50'50.0"W</t>
  </si>
  <si>
    <t>San Jose</t>
  </si>
  <si>
    <t>Bº Quinta Ferre   Zacarias Sanches S/N</t>
  </si>
  <si>
    <t>Correa Alfredo</t>
  </si>
  <si>
    <t>https://maps.app.goo.gl/GvWtPF21dVpjMLWU6</t>
  </si>
  <si>
    <t>27°27'45.1"S 58°48'22.9"W</t>
  </si>
  <si>
    <t>Ctro Integral Cruz Roja</t>
  </si>
  <si>
    <t>Bº Quinta Ferre  Zacarias Sanchez Nº 296</t>
  </si>
  <si>
    <t>Claudia Beatriz Báez</t>
  </si>
  <si>
    <t>https://maps.app.goo.gl/6jvsemsmHQAkbMwm6</t>
  </si>
  <si>
    <t>27°27'48.0"S 58°48'24.4"W</t>
  </si>
  <si>
    <t xml:space="preserve">Sagrado Corazon De Jesus  </t>
  </si>
  <si>
    <t>Bº Quinta Ferre, 19 De Mayo Y Rafael Obligado</t>
  </si>
  <si>
    <t>Diaz Josefina</t>
  </si>
  <si>
    <t>https://maps.app.goo.gl/1VfA2AS77f8LpZEK9</t>
  </si>
  <si>
    <t>27°27'59.9"S 58°48'16.1"W</t>
  </si>
  <si>
    <t>DEPENDENCIA</t>
  </si>
  <si>
    <t>Paranacito</t>
  </si>
  <si>
    <t>Bº Rio Parana, Combatientes de Malvinas 5000</t>
  </si>
  <si>
    <t>Bernie Jose Luis</t>
  </si>
  <si>
    <t>https://maps.app.goo.gl/UmNns1onQrThEguk7</t>
  </si>
  <si>
    <t>27°30'50.7"S 58°49'55.1"W</t>
  </si>
  <si>
    <t>COMEDOR INSTITUCIONAL: C.C.I</t>
  </si>
  <si>
    <t>Espiritu Santo</t>
  </si>
  <si>
    <t>Bº Samela Sur, Ruta 5 Km 2,5</t>
  </si>
  <si>
    <t>Escobar Alejandro</t>
  </si>
  <si>
    <t>https://maps.app.goo.gl/LNNUtK3x1UzXvUg88</t>
  </si>
  <si>
    <t>27°29'37.2"S 58°45'20.7"W</t>
  </si>
  <si>
    <t>San Benito</t>
  </si>
  <si>
    <t>Bº San Benito Entre Rios 2021</t>
  </si>
  <si>
    <t>Giles Isabel</t>
  </si>
  <si>
    <t>https://maps.app.goo.gl/QwPXvAC2KSZLBdeu6</t>
  </si>
  <si>
    <t>27°28'47.2"S 58°50'45.3"W</t>
  </si>
  <si>
    <t>Cideco</t>
  </si>
  <si>
    <t>Bº San Benito Elias Abad 2216</t>
  </si>
  <si>
    <t>SILVA NOELIA</t>
  </si>
  <si>
    <t>https://maps.app.goo.gl/UdQi3eouRPgDg2K57</t>
  </si>
  <si>
    <t>27°28'53.3"S 58°50'58.1"W</t>
  </si>
  <si>
    <t>San Marcos</t>
  </si>
  <si>
    <t>Bº San Marcos, Maipu Y Roque Perez</t>
  </si>
  <si>
    <t xml:space="preserve">Salinas Rita Angelica </t>
  </si>
  <si>
    <t>https://maps.app.goo.gl/FKCjphcmzXWr7Dsu8</t>
  </si>
  <si>
    <t>27°29'19.4"S 58°49'21.2"W</t>
  </si>
  <si>
    <t>Complejo Filadelfia</t>
  </si>
  <si>
    <t>Bº San Antonio Oeste Sta Catalina Al 4000</t>
  </si>
  <si>
    <t>https://maps.app.goo.gl/ZLDwyoJvaKkDJmR5A</t>
  </si>
  <si>
    <t>27°30'24.0"S 58°49'19.1"W</t>
  </si>
  <si>
    <t>COMEDOR INSTITUCIONAL CREDO IGLESIA EVANGELICA</t>
  </si>
  <si>
    <t>Pquia Ntra Sra De Itati</t>
  </si>
  <si>
    <t>Bº San Martin , Salta Y Tte. Ibañez</t>
  </si>
  <si>
    <t>Retamero Monica Teresa</t>
  </si>
  <si>
    <t>https://maps.app.goo.gl/9BtVNQbR8fh8gu8eA</t>
  </si>
  <si>
    <t>-27.48451483839303, -58.84152587501803</t>
  </si>
  <si>
    <t>Si Dios Quiere</t>
  </si>
  <si>
    <t xml:space="preserve">Bº Cichero Roca Y Rio Parana </t>
  </si>
  <si>
    <t xml:space="preserve">Gauna Reymundo </t>
  </si>
  <si>
    <t>https://maps.app.goo.gl/9DnRRyrYVV9Ukkzw6</t>
  </si>
  <si>
    <t>27°27'25.7"S 58°49'16.1"W</t>
  </si>
  <si>
    <t>Santa Teresita</t>
  </si>
  <si>
    <t>Bº  Santa Teresita, Castelli 2082</t>
  </si>
  <si>
    <t>Zabala Olga</t>
  </si>
  <si>
    <t>https://maps.app.goo.gl/1wVdnKSQCfjq53L88</t>
  </si>
  <si>
    <t>27°29'03.8"S 58°48'39.0"W</t>
  </si>
  <si>
    <t>Nstra. Sra. De Lourdes</t>
  </si>
  <si>
    <t>Bº Sapucay, Ruta 5 Km 7 Mz I Lote 1 Calle San Bernardita Y S. Pio X</t>
  </si>
  <si>
    <t>Romero Luciano Ariel</t>
  </si>
  <si>
    <t>https://maps.app.goo.gl/eXB6icpz5ju3CHQ8A</t>
  </si>
  <si>
    <t>27°29'15.3"S 58°44'16.5"W</t>
  </si>
  <si>
    <t>Luz Verdadera Serantes</t>
  </si>
  <si>
    <t>Bº Serantes Borges Y Loreto.</t>
  </si>
  <si>
    <t>Same Tomasa</t>
  </si>
  <si>
    <t>https://maps.app.goo.gl/4M76jCSZHUEGt488A</t>
  </si>
  <si>
    <t>27°30'20.2"S 58°48'14.8"W</t>
  </si>
  <si>
    <t xml:space="preserve">San Pablo </t>
  </si>
  <si>
    <t>Bº Santa Rosa , Gral Paz 2002</t>
  </si>
  <si>
    <t>Aguilar Edit Noemi</t>
  </si>
  <si>
    <t>https://maps.app.goo.gl/WaJPf3sqbvja8ffQ8</t>
  </si>
  <si>
    <t>27°28'46.6"S 58°49'37.5"W</t>
  </si>
  <si>
    <t>Universitario</t>
  </si>
  <si>
    <t>Bº Universitario. Agustin Masa 5310</t>
  </si>
  <si>
    <t>Cardozo, Ana</t>
  </si>
  <si>
    <t>https://maps.app.goo.gl/wdJb8wd5EWKVNiN79</t>
  </si>
  <si>
    <t>27°28'51.4"S 58°47'20.7"W</t>
  </si>
  <si>
    <t>Santa Maria De Los Pobres</t>
  </si>
  <si>
    <t>Bº Villa Garcia, Pje. Paris 4087</t>
  </si>
  <si>
    <t>Zaracho Mirta</t>
  </si>
  <si>
    <t>https://maps.app.goo.gl/aMv3Ezd9qyNDoLas7</t>
  </si>
  <si>
    <t>-27.477790875537643, -58.8026605039028</t>
  </si>
  <si>
    <t>COMEDOR INSTITUCIONAL: MUNICIPAL</t>
  </si>
  <si>
    <t>Esperanza</t>
  </si>
  <si>
    <t>Bº Esperanza - Calle Lombardero 91 Viv. C1 Mz M1</t>
  </si>
  <si>
    <t>Marmilich Rufina Elsa</t>
  </si>
  <si>
    <t>https://maps.app.goo.gl/EmLYihjC4EYie5HKA</t>
  </si>
  <si>
    <t>27°32'51.7"S 58°47'17.2"W</t>
  </si>
  <si>
    <t>Santa Marta</t>
  </si>
  <si>
    <t>Bº Santa Marta, Jr Vidal 4100</t>
  </si>
  <si>
    <t>Alegre Claudia Del Pilar</t>
  </si>
  <si>
    <t>https://maps.app.goo.gl/dQvAw7DhdSnCfhz19</t>
  </si>
  <si>
    <t>27°30'09.4"S 58°50'31.2"W</t>
  </si>
  <si>
    <t>RECONSTRUYENDO VIDA</t>
  </si>
  <si>
    <t>COSTANERA NORTE Y MALAGA B LOMAS DEL MIRADOR</t>
  </si>
  <si>
    <t>GOMEZ MARIA</t>
  </si>
  <si>
    <t>https://maps.app.goo.gl/QYdCAJvDQprByNmdA</t>
  </si>
  <si>
    <t>-27.46894459133306, -58.83287369682055</t>
  </si>
  <si>
    <t>San Ignacio</t>
  </si>
  <si>
    <t>Bº Lomas Mz 6 L 38</t>
  </si>
  <si>
    <t>Cerdan Celestina</t>
  </si>
  <si>
    <t>Comedor Madre Maravilla</t>
  </si>
  <si>
    <t>B° Quilmes, Hernandaria Y Rio Parana (DESCARGAR EN ALBERDI N° 2792)</t>
  </si>
  <si>
    <t>Sanchez Omar Ariel</t>
  </si>
  <si>
    <t>https://maps.app.goo.gl/rAJy5LCYERh1D9yFA</t>
  </si>
  <si>
    <t>-27.48726304025176, -58.851503701752705</t>
  </si>
  <si>
    <t>COMEDOR INSTITUCIONAL: FUNDACION DOLLY</t>
  </si>
  <si>
    <t>Rosa Mistica</t>
  </si>
  <si>
    <t>Barrio La Olla- Medrano al 4100</t>
  </si>
  <si>
    <t xml:space="preserve">Villalva Susana </t>
  </si>
  <si>
    <t>https://maps.app.goo.gl/kTpnwTUoV3MCtcPi6</t>
  </si>
  <si>
    <t>-27.48775322941032, -58.79649585767327</t>
  </si>
  <si>
    <t>Igl. San Cayetano</t>
  </si>
  <si>
    <t>San Cayetano - Salon Pquial.</t>
  </si>
  <si>
    <t>CABALLERO ARIEL</t>
  </si>
  <si>
    <t>https://maps.app.goo.gl/N41F549bFKbaZpoU8</t>
  </si>
  <si>
    <t>-27.568711927727925, -58.6940729616617</t>
  </si>
  <si>
    <t>Bº San Roque Oeste, Rio Miriñay 2600</t>
  </si>
  <si>
    <t>Acosta Susana</t>
  </si>
  <si>
    <t>https://maps.app.goo.gl/ehQ52tDrDGyDH7UG8</t>
  </si>
  <si>
    <t>27°30'44.0"S 58°48'53.6"W</t>
  </si>
  <si>
    <t>3 De Abril</t>
  </si>
  <si>
    <t>Bº 3 De Abril, Cabo De Hornos 3900</t>
  </si>
  <si>
    <t>Benitez Cristina</t>
  </si>
  <si>
    <t>https://maps.app.goo.gl/ytGFhTexg41m7qXJ7</t>
  </si>
  <si>
    <t>-27.50061951110164, -58.836187313490086</t>
  </si>
  <si>
    <t>El Obrerito</t>
  </si>
  <si>
    <t>Bº San Jose, Moreno 4598</t>
  </si>
  <si>
    <t>Ojeda Mercedes</t>
  </si>
  <si>
    <t>https://maps.app.goo.gl/ipY96NCBnuFG2NZN7</t>
  </si>
  <si>
    <t>27°28'47.4"S 58°47'43.1"W</t>
  </si>
  <si>
    <t>Cabo De Hornos</t>
  </si>
  <si>
    <t>Bº Bañado Sur,Cabo De Hornos 4000</t>
  </si>
  <si>
    <t>Alderete Pablo Alfredo</t>
  </si>
  <si>
    <t>https://maps.app.goo.gl/tHT9dUUQki5uWkdw9</t>
  </si>
  <si>
    <t>27°30'21.6"S 58°50'19.6"W</t>
  </si>
  <si>
    <t>Divino Niño</t>
  </si>
  <si>
    <t>Bº Colombia Granadero, Chile Entre Grla.Paz Y Castellano</t>
  </si>
  <si>
    <t>Veron Raquel</t>
  </si>
  <si>
    <t>https://maps.app.goo.gl/3Ptyj5bXXyrG9NEn7</t>
  </si>
  <si>
    <t>27°28'50.8"S 58°49'03.2"W</t>
  </si>
  <si>
    <t>Por Una Sonrisa II</t>
  </si>
  <si>
    <t>Madariaga 3296</t>
  </si>
  <si>
    <t>Retamozo Antonia</t>
  </si>
  <si>
    <t>https://maps.app.goo.gl/aLKRrjePYon4uxha9</t>
  </si>
  <si>
    <t>27°29'09.7"S 58°48'43.8"W</t>
  </si>
  <si>
    <t>Santa Catalina</t>
  </si>
  <si>
    <t>Bº Rio Parana, Mocoreta S/Nº</t>
  </si>
  <si>
    <t xml:space="preserve">Fretes  Amelia </t>
  </si>
  <si>
    <t>https://maps.app.goo.gl/tKaV7VHgbZbnnGT36</t>
  </si>
  <si>
    <t>27°30'56.8"S 58°49'24.2"W</t>
  </si>
  <si>
    <t>Gauchito Antonio Gil</t>
  </si>
  <si>
    <t>Bº Patono, Jr Vidal Al 4000 - C 10</t>
  </si>
  <si>
    <t>Romero Maria Antonia</t>
  </si>
  <si>
    <t>https://maps.app.goo.gl/SFPvZaqB2H1p8jjr8</t>
  </si>
  <si>
    <t>27°30'07.7"S 58°50'30.0"W</t>
  </si>
  <si>
    <t xml:space="preserve">Lucrecia Rios </t>
  </si>
  <si>
    <t>Bº Galvan Sec.B C10</t>
  </si>
  <si>
    <t>Blanco Ramon Andres</t>
  </si>
  <si>
    <t>https://maps.app.goo.gl/Ev91L84EZGEBkiQt9</t>
  </si>
  <si>
    <t>27°29'03.5"S 58°50'56.3"W</t>
  </si>
  <si>
    <t>La Eragia</t>
  </si>
  <si>
    <t>Bº Cremonete Avda Centenario Y Ruta 12</t>
  </si>
  <si>
    <t>Lopez Alicia Marta</t>
  </si>
  <si>
    <t>https://maps.app.goo.gl/UmWvSeyvfLNo8s427</t>
  </si>
  <si>
    <t>27°28'42.7"S 58°46'53.8"W</t>
  </si>
  <si>
    <t>Casa Caridad (VIRGEN DE LOS DOLORES)</t>
  </si>
  <si>
    <t>Bº 17 De Agosto Calle Verona 5570</t>
  </si>
  <si>
    <t>Lugo Nelida</t>
  </si>
  <si>
    <t>https://maps.app.goo.gl/ywLXKJ4yrzdcYpo19</t>
  </si>
  <si>
    <t>-27.49484353278069, -58.78458088465345</t>
  </si>
  <si>
    <t>Pquia. Sta. Catalina De Alejandría</t>
  </si>
  <si>
    <t>Bº Dr. Montaña  Florencio Varela Nº 5772</t>
  </si>
  <si>
    <t>Almeida Fernando</t>
  </si>
  <si>
    <t>https://maps.app.goo.gl/FuQCBgwxJK4iNFu</t>
  </si>
  <si>
    <t>-27.52775347339632, -58.7926838441832</t>
  </si>
  <si>
    <t>Bº Santa Rita Mz 23 Lote 8 Avda Centenario S/N</t>
  </si>
  <si>
    <t>Pereyra Zunilda</t>
  </si>
  <si>
    <t>27°29'00.7"S 58°45'23.9"W</t>
  </si>
  <si>
    <t>Puño Y Sudor</t>
  </si>
  <si>
    <t>Bº Ex Coca Cola  Cabo De Horno Nº3900</t>
  </si>
  <si>
    <t>Gonzalez Zulema</t>
  </si>
  <si>
    <t>https://maps.app.goo.gl/Rh9oHr6uLuyNrp6H8</t>
  </si>
  <si>
    <t>27°30'07.4"S 58°50'10.6"W</t>
  </si>
  <si>
    <t xml:space="preserve">Cdor. Mendoza Sur </t>
  </si>
  <si>
    <t>B° Mendoza al Sur Cabo de horno y Mendoza al sur</t>
  </si>
  <si>
    <t>Acuña Daniela</t>
  </si>
  <si>
    <t>https://maps.app.goo.gl/HsFYB6g1vGjpmNJC6</t>
  </si>
  <si>
    <t>27°26'52.0"S 58°47'12.8"W</t>
  </si>
  <si>
    <t>Corazon Contento</t>
  </si>
  <si>
    <t>B Patono 126viv casa 107 calle Argentina</t>
  </si>
  <si>
    <t>Isabel Rios</t>
  </si>
  <si>
    <t>https://maps.app.goo.gl/n5w11gMetsgPNbxi9</t>
  </si>
  <si>
    <t>27°30'00.5"S 58°50'38.0"W</t>
  </si>
  <si>
    <t>Mi Bello Angel</t>
  </si>
  <si>
    <t>B Galvan2 sector 2 casa 9</t>
  </si>
  <si>
    <t>Zarza Walter Dario</t>
  </si>
  <si>
    <t>https://maps.app.goo.gl/q2zX3VqUvg3vBJMSA</t>
  </si>
  <si>
    <t>27°29'06.6"S 58°50'58.8"W</t>
  </si>
  <si>
    <t>S/N</t>
  </si>
  <si>
    <t>San Expedito</t>
  </si>
  <si>
    <t>B Patono Facundo Quiroga 967</t>
  </si>
  <si>
    <t>Maximiliano Morales</t>
  </si>
  <si>
    <t>https://maps.app.goo.gl/eD1yvLLUUF27tbYq7</t>
  </si>
  <si>
    <t>27°29'44.1"S 58°50'34.3"W</t>
  </si>
  <si>
    <t>Iglesia Virgen De Itati (21)</t>
  </si>
  <si>
    <t>Bº Irupe, Tacuari Y Cartagena</t>
  </si>
  <si>
    <t>Medina Maria</t>
  </si>
  <si>
    <t>https://maps.app.goo.gl/qacUAizyVBoT4kf3A</t>
  </si>
  <si>
    <t>27°29'35.5"S 58°48'29.6"W</t>
  </si>
  <si>
    <t>Comedor Stella Maris</t>
  </si>
  <si>
    <t>B° Colombia Granaderos Sector 1 Casa 23 Mz. D</t>
  </si>
  <si>
    <t>Mayol, Mirta</t>
  </si>
  <si>
    <t>https://maps.app.goo.gl/uSaSo3EzK5ut7vdu8</t>
  </si>
  <si>
    <t>27°28'50.2"S 58°49'12.2"W</t>
  </si>
  <si>
    <t>Comedor Rincon de Luz y Doña Beba</t>
  </si>
  <si>
    <t>Barrio 3 de Abril MZ. D Casa Nº 17 Grupo 21 Viv</t>
  </si>
  <si>
    <t>Cinthia Capelli</t>
  </si>
  <si>
    <t>https://maps.app.goo.gl/atDw2Nbj4WoWcJ1X6</t>
  </si>
  <si>
    <t>C. D. BOSCO DOMINGO Y LAURA</t>
  </si>
  <si>
    <t>Av. IV Centenario 3400 (Mendoza al Sur)</t>
  </si>
  <si>
    <t xml:space="preserve">SERVETTI, JUAN RAMON </t>
  </si>
  <si>
    <t>https://maps.app.goo.gl/QNFiNTMy4Sr2KyTb8</t>
  </si>
  <si>
    <t>-27.494749018479553, -58.83776570175236</t>
  </si>
  <si>
    <t>Comedor Pancita Llena</t>
  </si>
  <si>
    <t>B° Virgen de los Dolores. Mz. 4. Casa 3, Calle cabeza de vaca</t>
  </si>
  <si>
    <t>Villalba, Emilce</t>
  </si>
  <si>
    <t>https://maps.app.goo.gl/f1XbbUzE7fBHnA2C8</t>
  </si>
  <si>
    <t>-27.490141840221906, -58.846636873882154</t>
  </si>
  <si>
    <t>La Casa de mi Hermano</t>
  </si>
  <si>
    <t>Maipú 129</t>
  </si>
  <si>
    <t xml:space="preserve">Pastor Pujol </t>
  </si>
  <si>
    <t>https://maps.app.goo.gl/JHNP7jcCbQcqSnng6</t>
  </si>
  <si>
    <t>-27.47792038180726, -58.82952488465345</t>
  </si>
  <si>
    <t>COMEDOR INSTITUCIONAL: CREDO IGLESIA EVANGELICA</t>
  </si>
  <si>
    <t>Templo As.de Dios Filadelfia</t>
  </si>
  <si>
    <t>Bº SAN GERONIMO   Domingo Lastra Nº770 y Juan Ramon Gimenez - Nº 8</t>
  </si>
  <si>
    <t>CUENCA, SANTA MARIA DE ASIS</t>
  </si>
  <si>
    <t>-</t>
  </si>
  <si>
    <t>https://maps.app.goo.gl/UnCmXZUCLxq2wiGg8</t>
  </si>
  <si>
    <t>27°28'17.3"S 58°47'20.9"W</t>
  </si>
  <si>
    <t>C.P.C. Paloma de la Paz</t>
  </si>
  <si>
    <t>B° San Roque Este - Calle Belisario Roldán 4229</t>
  </si>
  <si>
    <t>Ferreyra, Karina</t>
  </si>
  <si>
    <t>https://maps.app.goo.gl/exNTLVKWLj8Kaobv9</t>
  </si>
  <si>
    <t>27°29'40.4"S 58°48'37.9"W</t>
  </si>
  <si>
    <t>COMEDOR INSTITUCIONAL: CENTRO PROMOCION COMUNITARIO</t>
  </si>
  <si>
    <t>Comedor Santa Catalina</t>
  </si>
  <si>
    <t>B° Lomas del Mirador - Zaragoza al 599</t>
  </si>
  <si>
    <t>Romero Rogelio Ramon</t>
  </si>
  <si>
    <t>https://maps.app.goo.gl/Zh3gv8GntEpzxQjo9</t>
  </si>
  <si>
    <t>27°27'11.3"S 58°47'21.8"W+B96:H97</t>
  </si>
  <si>
    <t>Comedor San Martín de Porres</t>
  </si>
  <si>
    <t>Santiago del Estero Nº 353, Esquina Juncal.</t>
  </si>
  <si>
    <t>Lencinas, Francisco</t>
  </si>
  <si>
    <t>https://maps.app.goo.gl/kTihasitSeTDPbN86</t>
  </si>
  <si>
    <t>-27.46237691840612, -58.817947761283385</t>
  </si>
  <si>
    <t>Fundacion Animar</t>
  </si>
  <si>
    <t>B° Cacique Canindeyú - Goya N° 19</t>
  </si>
  <si>
    <t>Catougno, Analía</t>
  </si>
  <si>
    <t>https://maps.app.goo.gl/fZ5GjsJs2WxbvBJ77</t>
  </si>
  <si>
    <t>-27.48938359124921, -58.819824572915984</t>
  </si>
  <si>
    <t>Comedor Pequeño Milagro</t>
  </si>
  <si>
    <t>B° Bañado Sur, por calle Dr. Leloir MZ. 10 lote 17</t>
  </si>
  <si>
    <t>Olegaria Orrego</t>
  </si>
  <si>
    <t>https://maps.app.goo.gl/8iVPx6pGQdvaYB6SA</t>
  </si>
  <si>
    <t>27°30'09.1"S 58°50'17.4"W</t>
  </si>
  <si>
    <t>Comedor Pancita Feliz</t>
  </si>
  <si>
    <t>B° Bañado norte José María Rolón 2356</t>
  </si>
  <si>
    <t>Pereyra, Norma Angéli</t>
  </si>
  <si>
    <t>https://maps.app.goo.gl/AhNN6cdLPVQJ6wgh8</t>
  </si>
  <si>
    <t>-27.461686157419845, -58.819903459427024</t>
  </si>
  <si>
    <t>Comedor Papa Francisco</t>
  </si>
  <si>
    <t>B° Bañado Norte Calle Colombia 86, Mz 9 Lote</t>
  </si>
  <si>
    <t>Silva, Ramona</t>
  </si>
  <si>
    <t>https://maps.app.goo.gl/WJ3rqxbQFzXZjfbu5</t>
  </si>
  <si>
    <t>27°27'30.5"S 58°48'59.5"W</t>
  </si>
  <si>
    <t>Comedor Los Niños por una Sonrisa</t>
  </si>
  <si>
    <t>B° Galván II MZ F 3 Casa 15</t>
  </si>
  <si>
    <t>Villafañe Yedro, Analía Natalia</t>
  </si>
  <si>
    <t>https://maps.app.goo.gl/oDK7VEse5H9djcfT8</t>
  </si>
  <si>
    <t>27°29'04.5"S 58°50'56.8"W</t>
  </si>
  <si>
    <t>Comedor Barriguita Feliz</t>
  </si>
  <si>
    <t>B° Sargento Cabral - Calle Irala Nº 2470</t>
  </si>
  <si>
    <t>Rabez, Elcira Elizabet</t>
  </si>
  <si>
    <t>https://maps.app.goo.gl/5xuX3yZRCkcvrKUy8</t>
  </si>
  <si>
    <t>27°29'10.0"S 58°50'35.6"W</t>
  </si>
  <si>
    <t>Merendero " Sol"</t>
  </si>
  <si>
    <t>Bº Arazaty - Gral Paz Nº 120</t>
  </si>
  <si>
    <t>Sánchez, Romina Belén</t>
  </si>
  <si>
    <t>https://maps.app.goo.gl/bj3DEPMC7yPC47EB9</t>
  </si>
  <si>
    <t>-27.476379922389896, -58.85089721709981</t>
  </si>
  <si>
    <t>Comedor y merendero "Mamá Ata"</t>
  </si>
  <si>
    <t>Bº Progreso - Matheu Nº 2738</t>
  </si>
  <si>
    <t>López, Susana Elizabeth</t>
  </si>
  <si>
    <t>https://maps.app.goo.gl/ezGPaAkHMn73wkAXA</t>
  </si>
  <si>
    <t>-27.488136965692227, -58.819579917099325</t>
  </si>
  <si>
    <t>Grupo de Pastores UPCC</t>
  </si>
  <si>
    <t>237 Vdas Sector A Casa 62 (calle Argentina y Bonastre)</t>
  </si>
  <si>
    <t>Peralta Silvana Noemi</t>
  </si>
  <si>
    <t>https://maps.app.goo.gl/WxCASJU3jx8NymMH6</t>
  </si>
  <si>
    <t>27°30'05.4"S 58°49'51.1"W</t>
  </si>
  <si>
    <t>Comedor Mi Refugio</t>
  </si>
  <si>
    <t>B° Virgen de los dolores - Gutnisky N° 3040</t>
  </si>
  <si>
    <t>Lugo, Estela Graciela</t>
  </si>
  <si>
    <t>https://maps.app.goo.gl/gh85mWCR4dGe5mqb7</t>
  </si>
  <si>
    <t>-27.489970609808083, -58.85097789011906</t>
  </si>
  <si>
    <t>Comedor Neneco</t>
  </si>
  <si>
    <t>Pasaje Lujambio Nº 180</t>
  </si>
  <si>
    <t>Romero, Alejandra Karina</t>
  </si>
  <si>
    <t>https://maps.app.goo.gl/J1AT7XVqdxGHKgjq9</t>
  </si>
  <si>
    <t>-27.460146435224598, -58.81558712917322</t>
  </si>
  <si>
    <t>Ntra Sra de itati</t>
  </si>
  <si>
    <t>B Quilmes</t>
  </si>
  <si>
    <t>Gladis Falcon</t>
  </si>
  <si>
    <t>https://maps.app.goo.gl/Vwbp2sx6qB19kH8T9</t>
  </si>
  <si>
    <t>27°29'39.7"S 58°50'53.3"W</t>
  </si>
  <si>
    <t>INTERIOR</t>
  </si>
  <si>
    <t>El Sombrero</t>
  </si>
  <si>
    <t>Gonzalez Graciela</t>
  </si>
  <si>
    <t>https://maps.app.goo.gl/hMy5aGoRzQA5zsfB7</t>
  </si>
  <si>
    <t>27°42'05.4"S 58°45'54.0"W</t>
  </si>
  <si>
    <t>Maipú y ruta 12</t>
  </si>
  <si>
    <t>Maidana Celia</t>
  </si>
  <si>
    <t>https://maps.app.goo.gl/iV2gVgDuBNQpvm4cA</t>
  </si>
  <si>
    <t>27°32'16.4"S 58°45'26.6"W</t>
  </si>
  <si>
    <t>Riachuelo - Bº 11 leones sobre calle el dorado</t>
  </si>
  <si>
    <t>Correa Sandra</t>
  </si>
  <si>
    <t>https://maps.app.goo.gl/9u5ffM1MBGPYEAJw6</t>
  </si>
  <si>
    <t>27°34'11.9"S 58°45'32.3"W</t>
  </si>
  <si>
    <t>Los Leoncitos</t>
  </si>
  <si>
    <t>Dominguez Marta</t>
  </si>
  <si>
    <t>https://maps.app.goo.gl/JVbbHR1jGubhYgEX9</t>
  </si>
  <si>
    <t>27°33'49.1"S 58°45'43.7"W</t>
  </si>
  <si>
    <t>Pamela Lopez Barrios</t>
  </si>
  <si>
    <t>https://maps.app.goo.gl/bDaPLJUpaftFrTTK9</t>
  </si>
  <si>
    <t>27°22'29.7"S 58°30'45.8"W</t>
  </si>
  <si>
    <t>Los Chiquilines</t>
  </si>
  <si>
    <t>Medina Graciela</t>
  </si>
  <si>
    <t>https://maps.app.goo.gl/CzyYuNYqUJvMNUMdA</t>
  </si>
  <si>
    <t>27°34'58.2"S 58°44'45.6"W</t>
  </si>
  <si>
    <t>Jesus Misericordioso</t>
  </si>
  <si>
    <t>Roa Claudia Elisa</t>
  </si>
  <si>
    <t>https://maps.app.goo.gl/gww7TNRnDPiioe2c6</t>
  </si>
  <si>
    <t>-27.569629918973785, -58.74221943324411</t>
  </si>
  <si>
    <t>San Luis Del Palmar</t>
  </si>
  <si>
    <t xml:space="preserve">San Luis Del Palmar - Romero Y Amarrilla </t>
  </si>
  <si>
    <t>Maria Marta Roa</t>
  </si>
  <si>
    <t>https://maps.app.goo.gl/TCh63ProozoNvdGC8</t>
  </si>
  <si>
    <t>27°30'52.7"S 58°33'52.1"W</t>
  </si>
  <si>
    <t>MOVIMIENTOS SOCIALES</t>
  </si>
  <si>
    <t>Barrios Unidos</t>
  </si>
  <si>
    <t>Ctes.</t>
  </si>
  <si>
    <t>Salazar Ana Maria</t>
  </si>
  <si>
    <t>https://maps.app.goo.gl/hNbJz4QdSV2Z3FdA7</t>
  </si>
  <si>
    <t>27°30'03.3"S 58°47'53.0"W</t>
  </si>
  <si>
    <t>Org. Social Libres del Sur (ex Barrio de pie)</t>
  </si>
  <si>
    <t>https://maps.app.goo.gl/gj4qm3z1aU1wtwK56</t>
  </si>
  <si>
    <t>https://maps.app.goo.gl/hi5keN5HFKdzFPmM9</t>
  </si>
  <si>
    <t>27°29'21.9"S 58°49'23.4"W</t>
  </si>
  <si>
    <t>MTL</t>
  </si>
  <si>
    <t>Castellari Felix Ramon</t>
  </si>
  <si>
    <t>https://maps.app.goo.gl/FzDSwzKfeWXzpDL39</t>
  </si>
  <si>
    <t>27°29'58.5"S 58°50'06.9"W</t>
  </si>
  <si>
    <t>CCC Maria Conti</t>
  </si>
  <si>
    <t>Mambrin Carmen</t>
  </si>
  <si>
    <t>https://maps.app.goo.gl/J5jyiTjErc38xBQB8</t>
  </si>
  <si>
    <t>27°29'39.0"S 58°48'38.3"W</t>
  </si>
  <si>
    <t>FTV</t>
  </si>
  <si>
    <t>Ctes. San Juan 2850</t>
  </si>
  <si>
    <t>Barrios Claudia</t>
  </si>
  <si>
    <t>https://maps.app.goo.gl/c1ivc9oGbidrfDHM9</t>
  </si>
  <si>
    <t>27°31'11.2"S 58°49'47.4"W</t>
  </si>
  <si>
    <t xml:space="preserve">IGLESIA DE JESUCRISTO CODAZZI </t>
  </si>
  <si>
    <t>San Juan Nº 2500</t>
  </si>
  <si>
    <t>Raul Skarp</t>
  </si>
  <si>
    <t>https://maps.app.goo.gl/6vka9KUVCmivGHSd8</t>
  </si>
  <si>
    <t>-27.475173270646277, -58.837550574773076</t>
  </si>
  <si>
    <t>ASOCIACIÓN CORRENTINA CRUZ DE LOS MILAGROS</t>
  </si>
  <si>
    <t>ALBERDI 2323</t>
  </si>
  <si>
    <t>SAEZ, JAVIER   / Carolina</t>
  </si>
  <si>
    <t>https://maps.app.goo.gl/kzUbdPpp9vrX7Ado9</t>
  </si>
  <si>
    <t>-27.48333568359467, -58.845364270901094</t>
  </si>
  <si>
    <t xml:space="preserve">MOVIMIENTOS PASTORALES UNIDOS POR CORRIENTES </t>
  </si>
  <si>
    <t>B° PIRAYUÍ - CUBA 5428</t>
  </si>
  <si>
    <t>Olivera David</t>
  </si>
  <si>
    <t>https://maps.app.goo.gl/Db18VusFL4cyyD7K6</t>
  </si>
  <si>
    <t>-27.504869159190537, -58.78834116128182</t>
  </si>
  <si>
    <t>Movimiento Obrero</t>
  </si>
  <si>
    <t>J.R. Vidal Nº 2688</t>
  </si>
  <si>
    <t>Jesica Itatí Lorenza Salvani</t>
  </si>
  <si>
    <t>https://maps.app.goo.gl/9yHN1N4FHw1euDVx5</t>
  </si>
  <si>
    <t>-27.487866708270325, -58.84038586715218</t>
  </si>
  <si>
    <t>Organización Conciencia Popular</t>
  </si>
  <si>
    <t>Bº Molina Punta – Calle Pasionaria y Río Dulce</t>
  </si>
  <si>
    <t>Ivana Medina</t>
  </si>
  <si>
    <t>-27.449783241518478, -58.785296390120614</t>
  </si>
  <si>
    <t>Movimiento MIDJ</t>
  </si>
  <si>
    <t>Bº Lomas – Ruta 5 Km 1 (entrada frente a la YPF Pacheco)</t>
  </si>
  <si>
    <t>Roxana Cardozo</t>
  </si>
  <si>
    <t>https://maps.app.goo.gl/kTTMKUve9QiSHxCS8</t>
  </si>
  <si>
    <t>27°28'59.9"S 58°46'12.5"W</t>
  </si>
  <si>
    <t>MERENDERO</t>
  </si>
  <si>
    <t xml:space="preserve">Asoc. Mis. De La Esperanza </t>
  </si>
  <si>
    <t>Bº Concepcion Los Atacamas 2465</t>
  </si>
  <si>
    <t>Entivero Sandra Elisabet</t>
  </si>
  <si>
    <t>https://maps.app.goo.gl/my9v9483xG9Abzuy9</t>
  </si>
  <si>
    <t>-27.498314140821904, -58.816654642326725</t>
  </si>
  <si>
    <t>GRUPOS VOLUNTARIOS</t>
  </si>
  <si>
    <t>C1</t>
  </si>
  <si>
    <t>Estudiando Juntos</t>
  </si>
  <si>
    <t xml:space="preserve">Bº Sta Teresita - Las Heras 3165 </t>
  </si>
  <si>
    <t>Gomez Nidia Del Carmen</t>
  </si>
  <si>
    <t>https://maps.app.goo.gl/ZhZNLMT7e9nJ6Ver7</t>
  </si>
  <si>
    <t>27°28'59.7"S 58°48'48.0"W</t>
  </si>
  <si>
    <t>D</t>
  </si>
  <si>
    <t>Sueños</t>
  </si>
  <si>
    <t>Bº Seminario Chacabuco Y Rio Parana</t>
  </si>
  <si>
    <t>Miño Sandra</t>
  </si>
  <si>
    <t>https://maps.app.goo.gl/WVuaYzhfYw7oNjaL7</t>
  </si>
  <si>
    <t>27°27'41.1"S 58°48'36.9"W</t>
  </si>
  <si>
    <t>D1</t>
  </si>
  <si>
    <t>Asoc. San expedito</t>
  </si>
  <si>
    <t xml:space="preserve">Bº La Ollla Filandia Y Nicaragua  </t>
  </si>
  <si>
    <t>Villalva Ricardo</t>
  </si>
  <si>
    <t>https://maps.app.goo.gl/1X8o84gjT4XEnsLn7</t>
  </si>
  <si>
    <t>27°29'44.2"S 58°48'29.3"W</t>
  </si>
  <si>
    <t>E</t>
  </si>
  <si>
    <t>Mitai Pora</t>
  </si>
  <si>
    <t>Bº Sol De Mayo Dt Mercedes 202</t>
  </si>
  <si>
    <t>Lopez Raul</t>
  </si>
  <si>
    <t>https://maps.app.goo.gl/iakreb4s7GottgV49</t>
  </si>
  <si>
    <t>27°27'50.1"S 58°48'03.6"W</t>
  </si>
  <si>
    <t>F1</t>
  </si>
  <si>
    <t>Beneser Asamblea de Dios</t>
  </si>
  <si>
    <t>B° ponce, pasaje Verona 6700</t>
  </si>
  <si>
    <t>Sanchez Yuliana</t>
  </si>
  <si>
    <t>https://maps.app.goo.gl/W14HsnPL8YKcsLsQ6</t>
  </si>
  <si>
    <t>27°29'57.2"S 58°46'11.1"W</t>
  </si>
  <si>
    <t>SAGRADO CORAZON</t>
  </si>
  <si>
    <t>Bº Juan XXIII 32 Vdas Mza 638 Casa 11</t>
  </si>
  <si>
    <t xml:space="preserve">Cáceres, Ester Dominga </t>
  </si>
  <si>
    <t>https://maps.app.goo.gl/fazcRhjGhTZCuqr16</t>
  </si>
  <si>
    <t>-27.49513820138662, -58.83861548650991</t>
  </si>
  <si>
    <t xml:space="preserve"> San Justo</t>
  </si>
  <si>
    <t>Bº ESPERANZA Lote D Casa 8 (frente al Vivero Municipal)</t>
  </si>
  <si>
    <t>Lezcano Silvia Maria</t>
  </si>
  <si>
    <t>https://maps.app.goo.gl/uvoZ2epXZf8kNsxJA</t>
  </si>
  <si>
    <t>-27.543685953663033, -58.78839347079112</t>
  </si>
  <si>
    <t>G1</t>
  </si>
  <si>
    <t>Centro Misionero Pompeya</t>
  </si>
  <si>
    <t>Sgo. del Estero 353 (Capilla San Martín de Porres)</t>
  </si>
  <si>
    <t>Adence Clara</t>
  </si>
  <si>
    <t>https://maps.app.goo.gl/ZFLYhB33nX6drYLk7</t>
  </si>
  <si>
    <t>-27.462369463173673, -58.81773261349008</t>
  </si>
  <si>
    <t>GRUPOS VOLUNTARIOS: CREDO IGLESIA CATOLICA</t>
  </si>
  <si>
    <t>H</t>
  </si>
  <si>
    <t>Capilla Virgen De Lujan</t>
  </si>
  <si>
    <t>Bº Ponce Nelly Velazquez De Moresi Y Pedro Moresi</t>
  </si>
  <si>
    <t>Gómez María Mercedes</t>
  </si>
  <si>
    <t>https://maps.app.goo.gl/guZJCGYipvDR8N7n8</t>
  </si>
  <si>
    <t>27°29'28.2"S 58°46'05.7"W</t>
  </si>
  <si>
    <t>H1</t>
  </si>
  <si>
    <t>Fundacion Conin</t>
  </si>
  <si>
    <t>Bº Molina Punta Caa Cati Y P. Vidal 6521</t>
  </si>
  <si>
    <t>Ferreyra vanina</t>
  </si>
  <si>
    <t>https://maps.app.goo.gl/MGvzbCSWPB3xCuh5A</t>
  </si>
  <si>
    <t>27°26'34.5"S 58°46'52.2"W</t>
  </si>
  <si>
    <t>GRUPOS VOLUNTARIOS: ONG</t>
  </si>
  <si>
    <t>I</t>
  </si>
  <si>
    <t>Juan XXIII Dulce Maria</t>
  </si>
  <si>
    <t>Potosi 3470</t>
  </si>
  <si>
    <t>ORTIZ NATALIO RAMON</t>
  </si>
  <si>
    <t>https://maps.app.goo.gl/AtP48jowj2yoKgTA7</t>
  </si>
  <si>
    <t>-27.495667046526336, -58.839401073019836</t>
  </si>
  <si>
    <t>I1</t>
  </si>
  <si>
    <t>Los Peques</t>
  </si>
  <si>
    <t>Bº Bañado Norte Alem 350 (entre Vera y Santiago del Estero)</t>
  </si>
  <si>
    <t>Gomez Angel Ramon</t>
  </si>
  <si>
    <t>https://maps.app.goo.gl/AqFEziLHGHT8zbeC6</t>
  </si>
  <si>
    <t>27°27'45.8"S 58°48'54.9"W</t>
  </si>
  <si>
    <t>J</t>
  </si>
  <si>
    <t>Puerta del cielo</t>
  </si>
  <si>
    <t>Bº Lomas Del Mirador. Granada 710</t>
  </si>
  <si>
    <t>Lopez Luis Anibal</t>
  </si>
  <si>
    <t>https://maps.app.goo.gl/2fKAco3CZSF5kLpg6</t>
  </si>
  <si>
    <t>27°27'11.8"S 58°47'15.0"W</t>
  </si>
  <si>
    <t>J1</t>
  </si>
  <si>
    <t>Santa Ana (Carita Feliz)</t>
  </si>
  <si>
    <t>Escobar Ramon</t>
  </si>
  <si>
    <t>https://maps.app.goo.gl/MRvmq2GyazeJJqKk9</t>
  </si>
  <si>
    <t>-27.461063497561163, -58.661436390120066</t>
  </si>
  <si>
    <t>K</t>
  </si>
  <si>
    <t>La Providencia</t>
  </si>
  <si>
    <t>Bº Popular - Basa Vilvaso 990</t>
  </si>
  <si>
    <t>Mendoza Haidee</t>
  </si>
  <si>
    <t>https://maps.app.goo.gl/K78h3Vw7wKtPZ8LL6</t>
  </si>
  <si>
    <t>-27.475095459534607, -58.79509627116335</t>
  </si>
  <si>
    <t>Merendero La Providencia II</t>
  </si>
  <si>
    <t>Bº Quinta Ferré - Zacarías Sánchez 460 Sector 8 Casa 8</t>
  </si>
  <si>
    <t>Sotomayor, Alcides</t>
  </si>
  <si>
    <t>https://maps.app.goo.gl/ntVSYhLzURgDUNCx5</t>
  </si>
  <si>
    <t>-27.463247395405553, -58.806423522614594</t>
  </si>
  <si>
    <t>K1</t>
  </si>
  <si>
    <t>Asoc.Divino Niño</t>
  </si>
  <si>
    <t>Bº Quintana 100 Viv. Grupo 1 Casa 12 Cangallo y Yugoslavia</t>
  </si>
  <si>
    <t>Gadea Susana</t>
  </si>
  <si>
    <t>13.637.112 </t>
  </si>
  <si>
    <t>https://maps.app.goo.gl/nQTsavh3tLJfve3A8</t>
  </si>
  <si>
    <t>27°30'35.2"S 58°47'38.2"W</t>
  </si>
  <si>
    <t>L</t>
  </si>
  <si>
    <t xml:space="preserve">Escuela Especial Caridi </t>
  </si>
  <si>
    <t xml:space="preserve">Bº San Benito Elias Abat Y Perugorria </t>
  </si>
  <si>
    <t>CAPLAN MARIA</t>
  </si>
  <si>
    <t>https://maps.app.goo.gl/VWwfFfdjS4pDKkPSA</t>
  </si>
  <si>
    <t>-27.478345974617312, -58.848659230693116</t>
  </si>
  <si>
    <t>GRUPOS VOLUNTARIOS: ESCUELA P/DISC</t>
  </si>
  <si>
    <t>M1</t>
  </si>
  <si>
    <t>Pastorcitos De Fatima</t>
  </si>
  <si>
    <t>Mendoza Sur Y Cabo De Hornos</t>
  </si>
  <si>
    <t>Ramirez Cristina</t>
  </si>
  <si>
    <t>https://maps.app.goo.gl/ybEkcpZn5TJrMeyZ6</t>
  </si>
  <si>
    <t>27°30'10.6"S 58°50'11.9"W</t>
  </si>
  <si>
    <t>N</t>
  </si>
  <si>
    <t>Club San Cayetano</t>
  </si>
  <si>
    <t>Avenida San Cayetano y San Francisco de Asis</t>
  </si>
  <si>
    <t>Vallejos Ramon Luis</t>
  </si>
  <si>
    <t>https://maps.app.goo.gl/pWsTYfZ6ZDsi17626</t>
  </si>
  <si>
    <t>27°34'11.9"S 58°41'44.8"W</t>
  </si>
  <si>
    <t>GRUPOS VOLUNTARIOS: CLUB DEPORTIVO</t>
  </si>
  <si>
    <t>Ñ</t>
  </si>
  <si>
    <t>Los Simpsons</t>
  </si>
  <si>
    <t>Bº Caridi Mz. F Casa 5 Perugorria Y Pago Largo</t>
  </si>
  <si>
    <t>Martinez Hector</t>
  </si>
  <si>
    <t>https://maps.app.goo.gl/CfNBTZtHFzuDvVr49</t>
  </si>
  <si>
    <t>27°28'55.7"S 58°51'02.9"W</t>
  </si>
  <si>
    <t>O</t>
  </si>
  <si>
    <t xml:space="preserve">Bº Sta. Teresita Reconquista 2274 </t>
  </si>
  <si>
    <t xml:space="preserve">Perez Maria Antonia </t>
  </si>
  <si>
    <t>https://maps.app.goo.gl/LJQ7nZsvG2pF2HF78</t>
  </si>
  <si>
    <t>27°29'10.7"S 58°48'53.4"W</t>
  </si>
  <si>
    <t>O1</t>
  </si>
  <si>
    <t>Sagrada Familia II</t>
  </si>
  <si>
    <t>Bº Quilmes</t>
  </si>
  <si>
    <t>Olivera Ramon Pascual</t>
  </si>
  <si>
    <t>https://maps.app.goo.gl/U52KBwNppJwfRaag9</t>
  </si>
  <si>
    <t>27°29'40.2"S 58°50'50.3"W</t>
  </si>
  <si>
    <t>COMEDOR OFICIAL (SOLO MERIENDA)</t>
  </si>
  <si>
    <t>P</t>
  </si>
  <si>
    <t>Rey David</t>
  </si>
  <si>
    <t>Quinquela Martin 800 Mz K Casa14</t>
  </si>
  <si>
    <t>Alfonzo Adriana Isabel</t>
  </si>
  <si>
    <t>https://maps.app.goo.gl/Tob8H5QauK5ACVpJ8</t>
  </si>
  <si>
    <t>27°28'13.6"S 58°47'29.4"W</t>
  </si>
  <si>
    <t>Q</t>
  </si>
  <si>
    <t>San Patricio</t>
  </si>
  <si>
    <t>Bº Serantes Nicaragua 3659</t>
  </si>
  <si>
    <t>Moreyra Dominga Teodora</t>
  </si>
  <si>
    <t>https://maps.app.goo.gl/dAC4pv6qkRLAkze88</t>
  </si>
  <si>
    <t>27°29'57.6"S 58°48'37.0"W</t>
  </si>
  <si>
    <t>Q1</t>
  </si>
  <si>
    <t>Cichero</t>
  </si>
  <si>
    <t>Bº Cichero, Calle Roca Y Guido Spano</t>
  </si>
  <si>
    <t>MORINIGO MARCELA</t>
  </si>
  <si>
    <t>https://maps.app.goo.gl/MSRxXSWARWjRiyvU9</t>
  </si>
  <si>
    <t>27°27'29.0"S 58°49'15.0"W</t>
  </si>
  <si>
    <t>R</t>
  </si>
  <si>
    <t xml:space="preserve">Asoc. Civil La Amistad </t>
  </si>
  <si>
    <t>Bº VILLA RAQUEL140 Viviendas, MZAG, Casa 8 por Saavedra e/ Cadiz y Andalucia</t>
  </si>
  <si>
    <t>Barberan Elizabett</t>
  </si>
  <si>
    <t>https://maps.app.goo.gl/RD31Fq1TBa89Fig76</t>
  </si>
  <si>
    <t>27°29'29.3"S 58°48'51.8"W</t>
  </si>
  <si>
    <t>S</t>
  </si>
  <si>
    <t xml:space="preserve">San Cayetano </t>
  </si>
  <si>
    <t>San Cayetano Av. San Cayetano ESQUINA SAN MATEO DETRÁS DE LA COMISARIA</t>
  </si>
  <si>
    <t>ALDERETE HECTOR OMAR</t>
  </si>
  <si>
    <t>https://maps.app.goo.gl/t7Vr8arTPcPVrvsD7</t>
  </si>
  <si>
    <t>27°34'11.7"S 58°41'39.4"W</t>
  </si>
  <si>
    <t>S1</t>
  </si>
  <si>
    <t>Niños Felices</t>
  </si>
  <si>
    <t xml:space="preserve">Bº Patono  51 Viviendas Mz B Casa 6 </t>
  </si>
  <si>
    <t>Martinez Sandra</t>
  </si>
  <si>
    <t>https://maps.app.goo.gl/Q8cCN3YHVJ4SXfiJ6</t>
  </si>
  <si>
    <t>27°30'01.7"S 58°50'37.6"W</t>
  </si>
  <si>
    <t>T</t>
  </si>
  <si>
    <t>Santa Filomena</t>
  </si>
  <si>
    <t>Angel Navea 3698 Bº Sol De Mayo</t>
  </si>
  <si>
    <t>Pelozo Liliana</t>
  </si>
  <si>
    <t>https://maps.app.goo.gl/BBVLtGrtstiUZZLS9</t>
  </si>
  <si>
    <t>27°27'50.3"S 58°48'09.8"W</t>
  </si>
  <si>
    <t>GRUPOS VOLUNTARIOS: IGLESIA EVANGELICA</t>
  </si>
  <si>
    <t>U1</t>
  </si>
  <si>
    <t>La Edad Feliz</t>
  </si>
  <si>
    <t>Bº La Chola Crespo y Argentina al 2000</t>
  </si>
  <si>
    <t>Valdez Tomasa</t>
  </si>
  <si>
    <t>https://maps.app.goo.gl/hN9qTcMg8dCHzGdh6</t>
  </si>
  <si>
    <t>-27.50168615954937, -58.83007212453589</t>
  </si>
  <si>
    <t>V</t>
  </si>
  <si>
    <t>Capilla Rosello</t>
  </si>
  <si>
    <t>Bº Quintana</t>
  </si>
  <si>
    <t>Gimenez Florentino</t>
  </si>
  <si>
    <t>https://maps.app.goo.gl/bUSwN7CEvZjCRJrf9</t>
  </si>
  <si>
    <t>-27.50319939718567, -58.79938780371297</t>
  </si>
  <si>
    <t>GRUPOS VOLUNTARIOS: IGLESIA CATOLICA</t>
  </si>
  <si>
    <t>W</t>
  </si>
  <si>
    <t>El Angel</t>
  </si>
  <si>
    <t>Bº Parque Cadena Mza. 19 Lote 19</t>
  </si>
  <si>
    <t>Ramírez, Rita</t>
  </si>
  <si>
    <t>https://maps.app.goo.gl/kmEe7PehHQijYamh9</t>
  </si>
  <si>
    <t>-27.48997699224057, -58.75163682883664</t>
  </si>
  <si>
    <t>X1</t>
  </si>
  <si>
    <t>Club Curupay 1</t>
  </si>
  <si>
    <t xml:space="preserve">Vélez Sarfield y Sgo. del Estero </t>
  </si>
  <si>
    <t>Roa, Domingo</t>
  </si>
  <si>
    <t>https://maps.app.goo.gl/99VoPaSL3oAYTCm78</t>
  </si>
  <si>
    <t>-27.46427116637609, -58.817958084653455</t>
  </si>
  <si>
    <t>GRUPOS VOLUNTARIOS:  CLUB DEPORTIVO</t>
  </si>
  <si>
    <t>Y</t>
  </si>
  <si>
    <t>Sembrando Sueños</t>
  </si>
  <si>
    <t>Bº Rio Parana Calle Mocoreta Y Cabo De Hornos</t>
  </si>
  <si>
    <t>Sanchez Stella Maris</t>
  </si>
  <si>
    <t>https://maps.app.goo.gl/JCSFamS45FJiFvNV7</t>
  </si>
  <si>
    <t>27°30'54.2"S 58°49'45.9"W</t>
  </si>
  <si>
    <t>Y1</t>
  </si>
  <si>
    <t>Club Curupay 2</t>
  </si>
  <si>
    <t>Bº Arazati Gral Paz 70</t>
  </si>
  <si>
    <t>Romero Angel</t>
  </si>
  <si>
    <t>https://maps.app.goo.gl/cfe6RNRUsWd7SZwFA</t>
  </si>
  <si>
    <t>27°28'34.1"S 58°51'14.0"W</t>
  </si>
  <si>
    <t>Z</t>
  </si>
  <si>
    <t>Capilla Virgen De Itati</t>
  </si>
  <si>
    <t>Bº Itati - Amado Bonpland 395 S3 Casa 32</t>
  </si>
  <si>
    <t>Gomez Oscar Liberato</t>
  </si>
  <si>
    <t>https://maps.app.goo.gl/D8vjWdviNuDbrJwp6</t>
  </si>
  <si>
    <t>27°27'46.3"S 58°48'33.2"W</t>
  </si>
  <si>
    <t>Z1</t>
  </si>
  <si>
    <t>Sum San Jorge</t>
  </si>
  <si>
    <t>Bº Gazcon y Medrano</t>
  </si>
  <si>
    <t>Rios Walter Horacio</t>
  </si>
  <si>
    <t>https://maps.app.goo.gl/Kf2UyuGj6NTbnMt7A</t>
  </si>
  <si>
    <t>27°29'40.6"S 58°48'15.2"W</t>
  </si>
  <si>
    <t>Merendero San Jorge</t>
  </si>
  <si>
    <t>B° Río Parana - Pje. Tosquera y Mocoretá</t>
  </si>
  <si>
    <t>Mercedes Godoy</t>
  </si>
  <si>
    <t>https://maps.app.goo.gl/stAmkG6eMweBJuHK9</t>
  </si>
  <si>
    <t>27°30'57.6"S 58°49'40.0"W</t>
  </si>
  <si>
    <t>Club Lipton</t>
  </si>
  <si>
    <t>Av. Alberdi 2267</t>
  </si>
  <si>
    <t>Barrientos, Norma Beatríz</t>
  </si>
  <si>
    <t>https://maps.app.goo.gl/4oRkWsCxf9gJv3Do7</t>
  </si>
  <si>
    <t>-27.481487793419234, -58.84447595396033</t>
  </si>
  <si>
    <t>Iglesia Jesús Vive</t>
  </si>
  <si>
    <t>Bº San Roque - Guayquiraró 4266</t>
  </si>
  <si>
    <t>Pastor Cristian Telechea  / Angélica Telechea</t>
  </si>
  <si>
    <t>https://maps.app.goo.gl/VqvVUk11BASAYnYH6</t>
  </si>
  <si>
    <t>-27.51222849625818, -58.80293974373565</t>
  </si>
  <si>
    <t>Iglesia Soldados de Jesús II</t>
  </si>
  <si>
    <t>Bº Juan XXIII Pje.Callao 3719</t>
  </si>
  <si>
    <t>Pastor Torales</t>
  </si>
  <si>
    <t>https://maps.app.goo.gl/xaeoG6jZr8g5V2wD6</t>
  </si>
  <si>
    <t>-27.500133884317005, -58.83215891030282</t>
  </si>
  <si>
    <t>Iglesia Visión, Amor y Acción</t>
  </si>
  <si>
    <t xml:space="preserve"> Facundo Quiroga 1109, esquina J Vidal</t>
  </si>
  <si>
    <t>Pastor Medina</t>
  </si>
  <si>
    <t>https://maps.app.goo.gl/4znRNz7XZVVUhXjJ7</t>
  </si>
  <si>
    <t>-27.495870405192196, -58.8412560191126</t>
  </si>
  <si>
    <t>Merendero Cap. Santos Francisco y Jacinta Pastorcito de Fátima</t>
  </si>
  <si>
    <t xml:space="preserve">Bº 3 de Abril-Cabo de Hornos al sur E/Fray IgnacioMarti y Portay calle Juan de Dios Gómez </t>
  </si>
  <si>
    <t xml:space="preserve">Castillo, Liliana  </t>
  </si>
  <si>
    <t>https://maps.app.goo.gl/4t56bPkgYmmHoo4n7</t>
  </si>
  <si>
    <t>-27.50575095235875, -58.835715915346555</t>
  </si>
  <si>
    <t>Ntra. Sra. de Guadalupe</t>
  </si>
  <si>
    <t>Los Guaraníes 3115</t>
  </si>
  <si>
    <t>Pérez Cháves, Haydée</t>
  </si>
  <si>
    <t>https://maps.app.goo.gl/c5i3n7LUFq2umB597</t>
  </si>
  <si>
    <t>-27.505041786661018, -58.81230657116337</t>
  </si>
  <si>
    <t>Capilla Guadalupe</t>
  </si>
  <si>
    <t>Los tehuelches y Matacos Bº san antonio oeste (Tunuyán 3386)</t>
  </si>
  <si>
    <t xml:space="preserve">Navarro, Tomasa </t>
  </si>
  <si>
    <t>https://maps.app.goo.gl/Ph5VognFxiE9bRQW9</t>
  </si>
  <si>
    <t>-27.499199326697923, -58.818914074772074</t>
  </si>
  <si>
    <t>Merendero Porá</t>
  </si>
  <si>
    <t>Bº La Chola calle S/N (ex Crespo) Nº 3755</t>
  </si>
  <si>
    <t xml:space="preserve">García, Analía </t>
  </si>
  <si>
    <t>https://maps.app.goo.gl/2ukqKVSXBDXDZB568</t>
  </si>
  <si>
    <t>-27.50035928850364, -58.83005734887898</t>
  </si>
  <si>
    <t>Merendero Niños Felices II</t>
  </si>
  <si>
    <t>Bº Quintana – calle 510 y Milán</t>
  </si>
  <si>
    <t>Vallejos, Néstor Horacio</t>
  </si>
  <si>
    <t>https://maps.app.goo.gl/At83qPKRsQAUFNPP9</t>
  </si>
  <si>
    <t>27°30'44.0"S 58°47'16.7"W</t>
  </si>
  <si>
    <t>Merendero Los Kunumies</t>
  </si>
  <si>
    <t>Bº Esperanza - 70 Viv. - MZ L2  - Casa 10</t>
  </si>
  <si>
    <t>Aguirre, Norma Liliana</t>
  </si>
  <si>
    <t>https://maps.app.goo.gl/Qj2AFz1MeTPxbz6Z8</t>
  </si>
  <si>
    <t>27°32'53.8"S 58°47'23.2"W</t>
  </si>
  <si>
    <t>Bº Juan XXII - Gato y Mancha Nº 1150</t>
  </si>
  <si>
    <t>Romero, Ramona</t>
  </si>
  <si>
    <t>https://maps.app.goo.gl/w8Fd7t9JMskWAVtB7</t>
  </si>
  <si>
    <t>-27.49973861093705, -58.839420203608654</t>
  </si>
  <si>
    <t>Merendero Efraín</t>
  </si>
  <si>
    <t>B° 17 de Agosto - Cerdeña N° 5063</t>
  </si>
  <si>
    <t>Ruiz Díaz, Alberto - Glovasky, Mónica</t>
  </si>
  <si>
    <t>https://maps.app.goo.gl/3yUXLkfPZPrjNmA58</t>
  </si>
  <si>
    <t>-27.49051085860206, -58.79194245942587</t>
  </si>
  <si>
    <t>Merendero COIMAC</t>
  </si>
  <si>
    <t>Bº Juan XXIII Ricardo Gutiérrez 3245</t>
  </si>
  <si>
    <t xml:space="preserve">Gallardo, José  </t>
  </si>
  <si>
    <t>https://maps.app.goo.gl/s9j7XjyuxDuJcwjd9</t>
  </si>
  <si>
    <t>-27.49448680095093, -58.83468021709896</t>
  </si>
  <si>
    <t>B1</t>
  </si>
  <si>
    <t>Carita de angel</t>
  </si>
  <si>
    <t xml:space="preserve">Bº Virgen de los Dolores mza 2 casa 2 </t>
  </si>
  <si>
    <t>Almiron Antonella</t>
  </si>
  <si>
    <t>https://maps.app.goo.gl/wydEW68F4DKRGpWeA</t>
  </si>
  <si>
    <t>27°29'18.7"S 58°51'13.7"W</t>
  </si>
  <si>
    <t>LADRILLEROS</t>
  </si>
  <si>
    <t>BARRIO SOL DE MAYO 2</t>
  </si>
  <si>
    <t>CALLE 20 DE MAYO AL 100</t>
  </si>
  <si>
    <t>RUIZ DIAZ MIGUEL</t>
  </si>
  <si>
    <t>https://maps.app.goo.gl/e6BB24p3t1C3Utas8</t>
  </si>
  <si>
    <t>-27.461809242979452, -58.80408018650991</t>
  </si>
  <si>
    <t>Quinta Ferré</t>
  </si>
  <si>
    <t>Lopez Javier Ramón</t>
  </si>
  <si>
    <t>https://maps.app.goo.gl/XUN2xNoKjGXdkQMj6</t>
  </si>
  <si>
    <t>27°27'56.5"S 58°48'25.1"W</t>
  </si>
  <si>
    <t>Bahia del Sol</t>
  </si>
  <si>
    <t>Molina Punta calle monte casero y punta tacuara</t>
  </si>
  <si>
    <t>Robledo Ramon</t>
  </si>
  <si>
    <t>https://maps.app.goo.gl/gGEocQfWMU5byeHy6</t>
  </si>
  <si>
    <t>27°26'24.4"S 58°46'56.9"W</t>
  </si>
  <si>
    <t>Barrio Esperanza</t>
  </si>
  <si>
    <t>Romero Raul daniel</t>
  </si>
  <si>
    <t>https://maps.app.goo.gl/Ph9hxqbrAs8toXb49</t>
  </si>
  <si>
    <t>27°32'40.7"S 58°47'22.5"W</t>
  </si>
  <si>
    <t>Barrio Lomas del Mirador</t>
  </si>
  <si>
    <t>De Los Santos Nicolas</t>
  </si>
  <si>
    <t>https://maps.app.goo.gl/JYJ3p36isgSc8kLE6</t>
  </si>
  <si>
    <t>27°27'00.9"S 58°47'18.4"W</t>
  </si>
  <si>
    <t>BARRIO ZONA SUR 1 - LA TOSQUERA</t>
  </si>
  <si>
    <t xml:space="preserve">B° Río Paraná - Cabo de Hornos al fondo (Tanque) </t>
  </si>
  <si>
    <t>Sandra Aguirre</t>
  </si>
  <si>
    <t>https://maps.app.goo.gl/W1NozuXyjHiWRB7X9</t>
  </si>
  <si>
    <t>27°31'18.3"S 58°49'44.3"W</t>
  </si>
  <si>
    <t>Lomas del Mirador (pte. Verde)</t>
  </si>
  <si>
    <t>Soto Oscar</t>
  </si>
  <si>
    <t>https://maps.app.goo.gl/4BT5eJh9FLR89cBi7</t>
  </si>
  <si>
    <t>27°26'60.0"S 58°47'17.5"W</t>
  </si>
  <si>
    <t xml:space="preserve">MINISTERIO DE DESARROLLO SOCIAL </t>
  </si>
  <si>
    <t>COMEDORES INSTITUCIONAL</t>
  </si>
  <si>
    <t>MUNICIPAL- IGLESIAS- ONG- FUNDACIÓN- CENTRO COMUNITARIO INFANTIL- CDI</t>
  </si>
  <si>
    <t>COMEDORES SOLIDARIOS</t>
  </si>
  <si>
    <t xml:space="preserve">PRIVADOS </t>
  </si>
  <si>
    <t xml:space="preserve">GRUPOS VOLUNTARIOS </t>
  </si>
  <si>
    <t xml:space="preserve">MERENDEROS </t>
  </si>
  <si>
    <t>AREA</t>
  </si>
  <si>
    <t>FUNCION</t>
  </si>
  <si>
    <t>CATEGORIA</t>
  </si>
  <si>
    <t>MONTO</t>
  </si>
  <si>
    <t>Personal de Cocina</t>
  </si>
  <si>
    <t>Auxiliar</t>
  </si>
  <si>
    <t>Encargado</t>
  </si>
  <si>
    <t>Coordinador Zonal</t>
  </si>
  <si>
    <t>Administrativo</t>
  </si>
  <si>
    <t>Coordinador Gral</t>
  </si>
  <si>
    <t>Movimiento_Social.</t>
  </si>
  <si>
    <t>Zonal</t>
  </si>
  <si>
    <t>F</t>
  </si>
  <si>
    <t>Comedores_Ladrilleros</t>
  </si>
  <si>
    <t>Cocinero/a</t>
  </si>
  <si>
    <t>Ministerio_de_Desarrollo_Social</t>
  </si>
  <si>
    <t>Administrativo/a</t>
  </si>
  <si>
    <t>EN CAPITAL CONTAMOS 615 BECARIOS</t>
  </si>
  <si>
    <t>INTERIOR 22 BECARIOS</t>
  </si>
  <si>
    <t>GONZALEZ</t>
  </si>
  <si>
    <t xml:space="preserve"> GRACIELA INOCENCIA</t>
  </si>
  <si>
    <t>CAPITAL</t>
  </si>
  <si>
    <t>Personal_de_Cocina.</t>
  </si>
  <si>
    <t>Encargado/a</t>
  </si>
  <si>
    <t xml:space="preserve">GONZALEZ </t>
  </si>
  <si>
    <t>FEDERICO ALEJANDRO</t>
  </si>
  <si>
    <t xml:space="preserve">MEZA </t>
  </si>
  <si>
    <t>MARCOS</t>
  </si>
  <si>
    <t xml:space="preserve">ACEVEDO </t>
  </si>
  <si>
    <t>CERINA BIVIANA</t>
  </si>
  <si>
    <t xml:space="preserve">MAIDANA </t>
  </si>
  <si>
    <t>CELIA BEATRIZ</t>
  </si>
  <si>
    <t>MANUELA BEATRIZ</t>
  </si>
  <si>
    <t xml:space="preserve">MEDINA </t>
  </si>
  <si>
    <t>JUAN ANTONIO</t>
  </si>
  <si>
    <t>BETANCOURT</t>
  </si>
  <si>
    <t xml:space="preserve"> CASANDRA ABIGAIL</t>
  </si>
  <si>
    <t>Correas</t>
  </si>
  <si>
    <t xml:space="preserve"> Sandra Mercedes</t>
  </si>
  <si>
    <t>RIACHUELO</t>
  </si>
  <si>
    <t>CORREAS</t>
  </si>
  <si>
    <t>CECILIA MABEL</t>
  </si>
  <si>
    <t xml:space="preserve">Navarro </t>
  </si>
  <si>
    <t>Victoria</t>
  </si>
  <si>
    <t>Cocinero</t>
  </si>
  <si>
    <t xml:space="preserve">Blanco </t>
  </si>
  <si>
    <t>Rosa Mirta</t>
  </si>
  <si>
    <t>Dominguez</t>
  </si>
  <si>
    <t xml:space="preserve"> Marta</t>
  </si>
  <si>
    <t xml:space="preserve">Billordo </t>
  </si>
  <si>
    <t>Marta Hortencia</t>
  </si>
  <si>
    <t>Meza</t>
  </si>
  <si>
    <t xml:space="preserve"> Clara</t>
  </si>
  <si>
    <t xml:space="preserve">Meza </t>
  </si>
  <si>
    <t>Analia Soledad</t>
  </si>
  <si>
    <t xml:space="preserve">Roa </t>
  </si>
  <si>
    <t>Claudia Elisa</t>
  </si>
  <si>
    <t xml:space="preserve">Aldadez </t>
  </si>
  <si>
    <t>Claudia Isabel</t>
  </si>
  <si>
    <t>SAN LUIS DEL PALMAR</t>
  </si>
  <si>
    <t>Gomez</t>
  </si>
  <si>
    <t>Ramona Beatriz</t>
  </si>
  <si>
    <t xml:space="preserve">Pavon </t>
  </si>
  <si>
    <t>Elsa Viviana</t>
  </si>
  <si>
    <t>Molina Dominga</t>
  </si>
  <si>
    <t>Antonia</t>
  </si>
  <si>
    <t xml:space="preserve">Aguirre </t>
  </si>
  <si>
    <t>Yanina Noemi</t>
  </si>
  <si>
    <t>PROGRAMA MANOS PORA</t>
  </si>
  <si>
    <t>BASES</t>
  </si>
  <si>
    <t>BENEFICIARIOS</t>
  </si>
  <si>
    <t>MERCEDES</t>
  </si>
  <si>
    <t xml:space="preserve">TOTAL GENERAL  2300 </t>
  </si>
  <si>
    <t>PROGRAMA CELIACOS</t>
  </si>
  <si>
    <t>NO CUENTA CON BECAS, UNICAMENTE ENTREGA DE MODULOS DE CELIAQUIA</t>
  </si>
  <si>
    <t>LOCALIDADES</t>
  </si>
  <si>
    <t>ALVEAR</t>
  </si>
  <si>
    <t>BELLA VISTA</t>
  </si>
  <si>
    <t>BERON DE ASTRADA</t>
  </si>
  <si>
    <t>CAA CATI</t>
  </si>
  <si>
    <t>CHAVARRIA</t>
  </si>
  <si>
    <t>CAROLINA</t>
  </si>
  <si>
    <t>CONCEPCIÓN</t>
  </si>
  <si>
    <t>COLONIA LIEBIG</t>
  </si>
  <si>
    <t>CURUZÚ CUATIÁ</t>
  </si>
  <si>
    <t>EMPEDRADO</t>
  </si>
  <si>
    <t xml:space="preserve">ELEMENTOS DE LIMPIEZA DIRECCION DE SEGURIDAD ALIMENTARIA </t>
  </si>
  <si>
    <t>COMEDORES CAPITAL</t>
  </si>
  <si>
    <t>MERENDEROS CAPITAL</t>
  </si>
  <si>
    <t>COMEDORES INTERIOR</t>
  </si>
  <si>
    <t xml:space="preserve">TOTAL </t>
  </si>
  <si>
    <t xml:space="preserve">ARTICULOS </t>
  </si>
  <si>
    <t xml:space="preserve">LAVANDINA </t>
  </si>
  <si>
    <t xml:space="preserve">4 UNIDADES </t>
  </si>
  <si>
    <t xml:space="preserve">DETERGENTE </t>
  </si>
  <si>
    <t xml:space="preserve">DESENGRASANTE </t>
  </si>
  <si>
    <t xml:space="preserve">2 UNIDADES </t>
  </si>
  <si>
    <t xml:space="preserve">TRAPO DE PISO </t>
  </si>
  <si>
    <t xml:space="preserve">3 UNIDADES </t>
  </si>
  <si>
    <t xml:space="preserve">TRAPO DE REJILLA </t>
  </si>
  <si>
    <t xml:space="preserve">ESPONJA COMUN </t>
  </si>
  <si>
    <t xml:space="preserve">5 UNIDADES </t>
  </si>
  <si>
    <t xml:space="preserve">LANA  DE ACERO </t>
  </si>
  <si>
    <t xml:space="preserve">ESCOBILLON </t>
  </si>
  <si>
    <t xml:space="preserve">1 UNIDAD </t>
  </si>
  <si>
    <t xml:space="preserve">ESCURRIDOR </t>
  </si>
  <si>
    <t xml:space="preserve">28 UNIDADES </t>
  </si>
  <si>
    <t xml:space="preserve">SE LE ENTREGA SUJETO A LA DISPONIBILIDAD PRESUPUESTARIA DEL MINISTERIO. </t>
  </si>
  <si>
    <t xml:space="preserve">COMEDORES </t>
  </si>
  <si>
    <t>COMEDOR N°</t>
  </si>
  <si>
    <t>INSTITUCION</t>
  </si>
  <si>
    <t>D.N. I.</t>
  </si>
  <si>
    <t>LAVANDINA X 4 LTS</t>
  </si>
  <si>
    <t>DETERGENTE      X4,5LTS</t>
  </si>
  <si>
    <t>DESENGRASANTE X 5LTS</t>
  </si>
  <si>
    <t>TRAPO DE PISO</t>
  </si>
  <si>
    <t>TRAPO REJILLA</t>
  </si>
  <si>
    <t>LANA DE ACERO (VIRULANA)</t>
  </si>
  <si>
    <t>ESPONJA COMUN</t>
  </si>
  <si>
    <t>ESCOBILLON</t>
  </si>
  <si>
    <t>ESCURRIDOR</t>
  </si>
  <si>
    <t>SANTA RITA</t>
  </si>
  <si>
    <t>BOGADO ROSARIO</t>
  </si>
  <si>
    <t>MEDALLA MILAGROSA</t>
  </si>
  <si>
    <t xml:space="preserve">MEDINA PEDRO ALBERTO </t>
  </si>
  <si>
    <t>NIÑO TRAVIESO</t>
  </si>
  <si>
    <t>BARRIENTO YOLANDA</t>
  </si>
  <si>
    <t>Centro At. Personas Esp.(CAPES)</t>
  </si>
  <si>
    <t>LOPEZ DORA DIONICIA</t>
  </si>
  <si>
    <t>LA TOSQUERA</t>
  </si>
  <si>
    <t xml:space="preserve">OJEDA ZULMA </t>
  </si>
  <si>
    <t xml:space="preserve">SANTA LUCIA 1 </t>
  </si>
  <si>
    <t xml:space="preserve">VALLEJOS ESTHER </t>
  </si>
  <si>
    <t>FILADELFIA</t>
  </si>
  <si>
    <t>CUENCA RAMON DE JESUS</t>
  </si>
  <si>
    <t>FUNDACION EVITA</t>
  </si>
  <si>
    <t xml:space="preserve">MARTINEZ MATZGER, DEIDAMIA LUCIA </t>
  </si>
  <si>
    <t>SANTA LUCIA II</t>
  </si>
  <si>
    <t xml:space="preserve">BENITEZ PAOLA </t>
  </si>
  <si>
    <t xml:space="preserve">PANCITA LLENA </t>
  </si>
  <si>
    <t xml:space="preserve">VILLALVA EMILCE </t>
  </si>
  <si>
    <t>CARIDI</t>
  </si>
  <si>
    <t>MIRANDA LIDIA BEATRIZ</t>
  </si>
  <si>
    <t>PEQUEÑO REBAÑO</t>
  </si>
  <si>
    <t xml:space="preserve">BAZANTE SANDRA </t>
  </si>
  <si>
    <t>IGLESIA FILADELFIA</t>
  </si>
  <si>
    <t>PARE MARIA ELIZABETH</t>
  </si>
  <si>
    <t>LOS DALMATAS</t>
  </si>
  <si>
    <t xml:space="preserve">SANCHEZ MARIA MERCEDES </t>
  </si>
  <si>
    <t>MARIA EVA Y JUAN MANUEL</t>
  </si>
  <si>
    <t xml:space="preserve">MONTIEL MARIA CRISTINA </t>
  </si>
  <si>
    <t>SANTA CECILIA</t>
  </si>
  <si>
    <t xml:space="preserve">RAMIREZ SILVIA VERONICA </t>
  </si>
  <si>
    <t>MARIA AUXILIADORA</t>
  </si>
  <si>
    <t xml:space="preserve">LOPEZ NORMA </t>
  </si>
  <si>
    <t>VIRGEN DEL CARMEN</t>
  </si>
  <si>
    <t xml:space="preserve">YEDRO, ELBA ITATI </t>
  </si>
  <si>
    <t>MARAVILLAS DE JESUS</t>
  </si>
  <si>
    <t xml:space="preserve">VANDECAVEYE ANTONIO RAMON </t>
  </si>
  <si>
    <t>EL PASITO</t>
  </si>
  <si>
    <t xml:space="preserve">RAMIREZ RAMON </t>
  </si>
  <si>
    <t xml:space="preserve">EBENECER </t>
  </si>
  <si>
    <t xml:space="preserve">ASOC. FOTOS DEL ALMA </t>
  </si>
  <si>
    <t>GONZALEZ DIEGO FABIAN</t>
  </si>
  <si>
    <t>NSTRA SRA DE FATIMA</t>
  </si>
  <si>
    <t xml:space="preserve">BENITEZ LUISA MARIA </t>
  </si>
  <si>
    <t>VIRGEN DE ITATI</t>
  </si>
  <si>
    <t>NAVARRO MERCEDES BEATRIZ</t>
  </si>
  <si>
    <t>PEQUEÑO PONY</t>
  </si>
  <si>
    <t>ROLDAN ANTONIA</t>
  </si>
  <si>
    <t>LAGUNA PAMPIN</t>
  </si>
  <si>
    <t xml:space="preserve">MORALES ANTONIA </t>
  </si>
  <si>
    <t>SAN PANTALEON</t>
  </si>
  <si>
    <t>FIGUEREDO CLAUDIA</t>
  </si>
  <si>
    <t>LA SAGRADA FAMILIA II</t>
  </si>
  <si>
    <t>ACOSTA DAVID SIXTO</t>
  </si>
  <si>
    <t>EMANUEL</t>
  </si>
  <si>
    <t>GONZALEZ LORENZA</t>
  </si>
  <si>
    <t>LOMA LINDA</t>
  </si>
  <si>
    <t>GONZALEZ NORMA JULIANA</t>
  </si>
  <si>
    <t>SANTA ISABEL</t>
  </si>
  <si>
    <t>LOPEZ PEDRO ROBERTO</t>
  </si>
  <si>
    <t>HECTORCITO</t>
  </si>
  <si>
    <t>NUÑEZ ANTONIA REGINA</t>
  </si>
  <si>
    <t>TAITALO PUNTA</t>
  </si>
  <si>
    <t xml:space="preserve">GUTIERREZ RAMON </t>
  </si>
  <si>
    <t>VIRGEN DESATANUDOS</t>
  </si>
  <si>
    <t xml:space="preserve">MOLINA JOSE RAMON </t>
  </si>
  <si>
    <t>GUADALUPE</t>
  </si>
  <si>
    <t>LENCINA URBINA MARIO</t>
  </si>
  <si>
    <t>MIS NIÑITOS</t>
  </si>
  <si>
    <t>CABRAL RUBEN DARIO</t>
  </si>
  <si>
    <t>POKEMON (PIRAYUI)</t>
  </si>
  <si>
    <t xml:space="preserve">CABRERA ELENA ROSA </t>
  </si>
  <si>
    <t>CARITA SUCIA</t>
  </si>
  <si>
    <t xml:space="preserve">VALLEJOS RITA ISABEL </t>
  </si>
  <si>
    <t xml:space="preserve">STELLA MARIS </t>
  </si>
  <si>
    <t>MIRTA MAYOL</t>
  </si>
  <si>
    <t>NSTRA. SRA. DE LUJAN</t>
  </si>
  <si>
    <t>BAZANTE MERCEDES</t>
  </si>
  <si>
    <t>PUEBLITO BS.AS.</t>
  </si>
  <si>
    <t xml:space="preserve">LEZCANO VILMA </t>
  </si>
  <si>
    <t>SAGRADA FAMILIA</t>
  </si>
  <si>
    <t xml:space="preserve">LOPEZ MICAELA TALIA </t>
  </si>
  <si>
    <t>SAN JOSE</t>
  </si>
  <si>
    <t>CORREA ALFREDO SIMON</t>
  </si>
  <si>
    <t>CTRO INTEGRAL CRUZ ROJA</t>
  </si>
  <si>
    <t xml:space="preserve">BAEZ CLAUDIA </t>
  </si>
  <si>
    <t xml:space="preserve">SAGRADO CORAZON DE JESUS  </t>
  </si>
  <si>
    <t>DIAZ JOSEFINA</t>
  </si>
  <si>
    <t>PARANACITO</t>
  </si>
  <si>
    <t xml:space="preserve">BERNIE JOSE LUIS </t>
  </si>
  <si>
    <t>ESPIRITU SANTO</t>
  </si>
  <si>
    <t>ESCOBAR ALEJANDRO LUIS</t>
  </si>
  <si>
    <t>SAN BENITO</t>
  </si>
  <si>
    <t xml:space="preserve">GILE ISABEL </t>
  </si>
  <si>
    <t>CIDECO</t>
  </si>
  <si>
    <t xml:space="preserve">SILVA NOELIA SOLEDAD </t>
  </si>
  <si>
    <t>SAN MARCOS</t>
  </si>
  <si>
    <t>SALINA RITA ANGELICA</t>
  </si>
  <si>
    <t>COMPLEJO FILADELFIA</t>
  </si>
  <si>
    <t>PQUIA NTRA SRA DE ITATI</t>
  </si>
  <si>
    <t xml:space="preserve">GUEDES LEONARDO ENRIQUE </t>
  </si>
  <si>
    <t>SI DIOS QUIERE</t>
  </si>
  <si>
    <t>GAUNA REYMUNDO EDUARDO</t>
  </si>
  <si>
    <t>SANTA TERESITA</t>
  </si>
  <si>
    <t xml:space="preserve">ZABALA OLGA BEATRIZ </t>
  </si>
  <si>
    <t>NSTRA. SRA. DE LOURDES</t>
  </si>
  <si>
    <t xml:space="preserve">ROMERO LUCIANO </t>
  </si>
  <si>
    <t>LUZ VERDADERA SERANTES</t>
  </si>
  <si>
    <t>SAME TOMASA</t>
  </si>
  <si>
    <t xml:space="preserve">SAN PABLO </t>
  </si>
  <si>
    <t xml:space="preserve">AGUILAR EDIT NOEMI </t>
  </si>
  <si>
    <t>UNIVERSITARIO</t>
  </si>
  <si>
    <t xml:space="preserve">CARDOZO ANA </t>
  </si>
  <si>
    <t>STA. Ma. DE LOS POBRES</t>
  </si>
  <si>
    <t xml:space="preserve">ZARACHO MIRTA GLADIS </t>
  </si>
  <si>
    <t xml:space="preserve">CLUB CURUPAY 1 </t>
  </si>
  <si>
    <t xml:space="preserve">ROA DOMINGO </t>
  </si>
  <si>
    <t>ESPERANZA</t>
  </si>
  <si>
    <t xml:space="preserve">MARMILICH RUFINA ELSA </t>
  </si>
  <si>
    <t>CAPILLA  SANTA MARTA</t>
  </si>
  <si>
    <t>ALEGRE CLAUDIA</t>
  </si>
  <si>
    <t>IGLESIA BAUTISTA</t>
  </si>
  <si>
    <t xml:space="preserve">GOMEZ MARIA </t>
  </si>
  <si>
    <t>COMEDOR SAN IGNACIO</t>
  </si>
  <si>
    <t xml:space="preserve">CERDAN CELESTINA </t>
  </si>
  <si>
    <t>MADRE MARAVILLA</t>
  </si>
  <si>
    <t>SILVA GLADIS</t>
  </si>
  <si>
    <t>HERMANA CRISTINA ROSA MISTICA</t>
  </si>
  <si>
    <t xml:space="preserve">VILLALVA SUSANA DIONICIA </t>
  </si>
  <si>
    <t>C0MEDOR IGLESIA SAN CAYETANO</t>
  </si>
  <si>
    <t xml:space="preserve">OLIVAREZ MERCEDES ITATI </t>
  </si>
  <si>
    <t>SAN ROQUE</t>
  </si>
  <si>
    <t>ACOSTA SUSANA EVANGELINA</t>
  </si>
  <si>
    <t>3 DE ABRIL</t>
  </si>
  <si>
    <t>BENITEZ CRISTINA</t>
  </si>
  <si>
    <t>EL OBRERITO</t>
  </si>
  <si>
    <t>OJEDA MERCEDES</t>
  </si>
  <si>
    <t>CABO DE HORNOS</t>
  </si>
  <si>
    <t xml:space="preserve">ALDERETE ALFREDO </t>
  </si>
  <si>
    <t>DIVINO NIÑO</t>
  </si>
  <si>
    <t xml:space="preserve">VERON RAQUEL </t>
  </si>
  <si>
    <t>POR UNA SONRISA I I</t>
  </si>
  <si>
    <t>RETAMOZO ANTONIA DELINA</t>
  </si>
  <si>
    <t>LUCRECIA RIOS</t>
  </si>
  <si>
    <t xml:space="preserve">BLANCO RAMON </t>
  </si>
  <si>
    <t>LA ERAGIA</t>
  </si>
  <si>
    <t>LOPEZ ALICIA MARTA</t>
  </si>
  <si>
    <t>CASA DE CARIDAD (VIRGEN DE LOS DOLORES)</t>
  </si>
  <si>
    <t>LUGO NELIDA ROSA</t>
  </si>
  <si>
    <t>PQUIA. STA. CATALINA DE ALEJANDRIA</t>
  </si>
  <si>
    <t xml:space="preserve">ALMEIDA FERNANDO </t>
  </si>
  <si>
    <t xml:space="preserve">NSTRA. SRA DE ITATI </t>
  </si>
  <si>
    <t xml:space="preserve">FALCON GLADIS </t>
  </si>
  <si>
    <t xml:space="preserve">PEREYRA ZUNILDA </t>
  </si>
  <si>
    <t xml:space="preserve">CORAZON CONTENTO </t>
  </si>
  <si>
    <t xml:space="preserve">RIOS ISABEL </t>
  </si>
  <si>
    <t>COMEDOR SAN EXPEDITO</t>
  </si>
  <si>
    <t>MORALES MAXIMILIANO</t>
  </si>
  <si>
    <t>LA GURIZADA</t>
  </si>
  <si>
    <t>GONZALEZ GRACIELA INOCENCIA</t>
  </si>
  <si>
    <t xml:space="preserve">SANTA MARGARITA </t>
  </si>
  <si>
    <t>MAIDANA CELIA BEATRIZ</t>
  </si>
  <si>
    <t xml:space="preserve">FRUTO VERDE </t>
  </si>
  <si>
    <t xml:space="preserve">CORREA SANDRA </t>
  </si>
  <si>
    <t>LOS LEONCITOS</t>
  </si>
  <si>
    <t xml:space="preserve">DOMINGUEZ MARTA SUSANA </t>
  </si>
  <si>
    <t xml:space="preserve">LOS CHIQUILINES </t>
  </si>
  <si>
    <t>INSAURRALDE CARLOS ANDRES</t>
  </si>
  <si>
    <t>JESUS MISERICORDIOSO</t>
  </si>
  <si>
    <t>ROA CLAUDIA ELSA</t>
  </si>
  <si>
    <t xml:space="preserve">NIÑOS FELICES </t>
  </si>
  <si>
    <t xml:space="preserve">VALLEJOS HORACIO NESTOR </t>
  </si>
  <si>
    <t>MIJD</t>
  </si>
  <si>
    <t>ROXANA CARDOZO</t>
  </si>
  <si>
    <t xml:space="preserve">SANTA CATALINA </t>
  </si>
  <si>
    <t xml:space="preserve">ROMERO ROGELIO RAMON </t>
  </si>
  <si>
    <t xml:space="preserve">S/N </t>
  </si>
  <si>
    <t xml:space="preserve">LOS NIÑOS POR UNA SONRRISA </t>
  </si>
  <si>
    <t>VILLAFAÑEZ ANALIA</t>
  </si>
  <si>
    <t xml:space="preserve">FUNDACIÓN ANIMAR </t>
  </si>
  <si>
    <t>ORDEN</t>
  </si>
  <si>
    <t>N°</t>
  </si>
  <si>
    <t>DETERGENTE X 4,5 LTS</t>
  </si>
  <si>
    <t>DESENGRASANTE X 5 LTS</t>
  </si>
  <si>
    <t>ASOC. CIVIL MISIONEROS DE LA ESPERANZA</t>
  </si>
  <si>
    <t xml:space="preserve">AGUIRRE MIGUEL </t>
  </si>
  <si>
    <t xml:space="preserve">CAPILLA  VIRGEN DE LUJAN </t>
  </si>
  <si>
    <t xml:space="preserve">GOMEZ MARIA MERCEDES </t>
  </si>
  <si>
    <t>JUAN XXIII DULCE MARIA</t>
  </si>
  <si>
    <t xml:space="preserve">ACEVEDO YAMILA </t>
  </si>
  <si>
    <t>PUERTA DEL CIELO</t>
  </si>
  <si>
    <t xml:space="preserve">BENITEZ RUBEN </t>
  </si>
  <si>
    <t xml:space="preserve">MERENDERO LA PROVIDENCIA </t>
  </si>
  <si>
    <t xml:space="preserve">MENDOZA AIDEE </t>
  </si>
  <si>
    <t xml:space="preserve">MERENDERO LA PROVIDENCIA II </t>
  </si>
  <si>
    <t xml:space="preserve">SOTOMAYOR ALCIDES </t>
  </si>
  <si>
    <t xml:space="preserve">MERENDERO CLUB SAN CAYETANO </t>
  </si>
  <si>
    <t xml:space="preserve">VALLEJOS RAMON </t>
  </si>
  <si>
    <t xml:space="preserve">MERENDERO SANTA TERESITA            </t>
  </si>
  <si>
    <t xml:space="preserve">PEREZ MARIA ANTONIA </t>
  </si>
  <si>
    <t>MERENDERO Bº REY DAVID</t>
  </si>
  <si>
    <t>ALFONSO ADRIANA</t>
  </si>
  <si>
    <t>MERENDERO SAN PATRICIO</t>
  </si>
  <si>
    <t>DOMINGA MOREYRA</t>
  </si>
  <si>
    <t>ASOCIACION CIVIL LA AMISTAD</t>
  </si>
  <si>
    <t>BARBERAN ELIZABETH</t>
  </si>
  <si>
    <t>MERENDERO SAN CAYETANO</t>
  </si>
  <si>
    <t xml:space="preserve">ALDERETE HECTOR OMAR </t>
  </si>
  <si>
    <t>MERENDERO SANTA FILOMENA</t>
  </si>
  <si>
    <t xml:space="preserve">PELOZO LILIANA </t>
  </si>
  <si>
    <t>CAPILLA ROSELLO</t>
  </si>
  <si>
    <t>GIMENEZ FLORENTINO</t>
  </si>
  <si>
    <t xml:space="preserve">EL ANGEL </t>
  </si>
  <si>
    <t>RAMIREZ RITA IDELINA</t>
  </si>
  <si>
    <t>Bº RIO PARANA (SEMBRANDO SUEÑOS)</t>
  </si>
  <si>
    <t xml:space="preserve">SANCHEZ STELLA </t>
  </si>
  <si>
    <t>CAPILLA VIRGEN DE ITATI</t>
  </si>
  <si>
    <t xml:space="preserve">DIAS EVELYN </t>
  </si>
  <si>
    <t xml:space="preserve">ASOCIACION MERENDERO DIVINO NIÑO </t>
  </si>
  <si>
    <t xml:space="preserve">GADEA SUSANA </t>
  </si>
  <si>
    <t>MERENDERO ESTUDIANDO JUNTOS</t>
  </si>
  <si>
    <t>GOMEZ NIDIA DEL CARMEN</t>
  </si>
  <si>
    <t>MERENDERO ASOC. SAN EXPEDITO</t>
  </si>
  <si>
    <t xml:space="preserve">VILLAVA RICARDO </t>
  </si>
  <si>
    <t>CENTRO MISIONERO POMPEYA</t>
  </si>
  <si>
    <t xml:space="preserve">DURAN ELISA ESTHER </t>
  </si>
  <si>
    <t>FUNDACION CONIN</t>
  </si>
  <si>
    <t>FERREIRA VANINA</t>
  </si>
  <si>
    <t>MERENDERO LOS PEQUES</t>
  </si>
  <si>
    <t>GOMEZ ANGEL RAMON</t>
  </si>
  <si>
    <t>MERENDERO SANTA ANA</t>
  </si>
  <si>
    <t>PASTORCITO DE FATIMA</t>
  </si>
  <si>
    <t>RAMIREZ CRISTINA</t>
  </si>
  <si>
    <t>MERENDERO LA SAGRADA FAMILIA II</t>
  </si>
  <si>
    <t xml:space="preserve">OLIVERA PASCUAL </t>
  </si>
  <si>
    <t>MERENDERO CICHERO</t>
  </si>
  <si>
    <t xml:space="preserve"> NIÑOS FELICES</t>
  </si>
  <si>
    <t>MARTINEZ SANDRA ELIZABET</t>
  </si>
  <si>
    <t>MERENDERO LA EDAD FELIZ</t>
  </si>
  <si>
    <t xml:space="preserve">TOMASA VALDEZ </t>
  </si>
  <si>
    <t>CLUB CURUPAY 2</t>
  </si>
  <si>
    <t>Romero, Angel</t>
  </si>
  <si>
    <t>Carita de Ángel</t>
  </si>
  <si>
    <t xml:space="preserve">ALMIRON ANTONELLA </t>
  </si>
  <si>
    <t>MERENDERO CAPILLA GUADALUPE</t>
  </si>
  <si>
    <t>NAVARRO GRACIELA TOMASA</t>
  </si>
  <si>
    <t>LOS MELLIZOS</t>
  </si>
  <si>
    <t>LENCINA MARTA EL CARMEN</t>
  </si>
  <si>
    <t>ISLAS MALVINAS</t>
  </si>
  <si>
    <t xml:space="preserve">MANCEDO MIRTA </t>
  </si>
  <si>
    <t>SAN CAMILO</t>
  </si>
  <si>
    <t>FRANCO CLARA</t>
  </si>
  <si>
    <t>FRETES AMELIA NOEMI</t>
  </si>
  <si>
    <t>GAUCHITO GIL</t>
  </si>
  <si>
    <t>ROMERO MARIA ANTONIA</t>
  </si>
  <si>
    <t>PUÑO Y SUDOR</t>
  </si>
  <si>
    <t>GAUNA ANA ISABEL</t>
  </si>
  <si>
    <t>MENDOZA AL SUR</t>
  </si>
  <si>
    <t xml:space="preserve">ACUÑA DANIELA </t>
  </si>
  <si>
    <t xml:space="preserve">MI BELLO ANGEL </t>
  </si>
  <si>
    <t xml:space="preserve">ZARZA WALTER </t>
  </si>
  <si>
    <t xml:space="preserve">MERENDERO SAN JORGE </t>
  </si>
  <si>
    <t xml:space="preserve">MERCEDES GODOY </t>
  </si>
  <si>
    <t>EX 21 NTRA SRA DE ITATI</t>
  </si>
  <si>
    <t>MEDINA MARIA</t>
  </si>
  <si>
    <t xml:space="preserve">FUNDACION AMANECER </t>
  </si>
  <si>
    <t xml:space="preserve">MARTINEZ MIRIAM </t>
  </si>
  <si>
    <t xml:space="preserve">SAGRADO CORAZON </t>
  </si>
  <si>
    <t xml:space="preserve">CACERES ESTER </t>
  </si>
  <si>
    <t xml:space="preserve">RINCON DE LUZ DOÑA BEBA </t>
  </si>
  <si>
    <t xml:space="preserve">CAPELLI CINTHIA </t>
  </si>
  <si>
    <t>MERENDERO SUEÑOS</t>
  </si>
  <si>
    <t xml:space="preserve">MIÑO SANDRA SILVINA </t>
  </si>
  <si>
    <t>MERENDERO LOS SIMPSONS</t>
  </si>
  <si>
    <t xml:space="preserve">MARTINEZ HECTOR RAMON </t>
  </si>
  <si>
    <t>MITAI PORA</t>
  </si>
  <si>
    <t>LOPEZ RAUL</t>
  </si>
  <si>
    <t>BARRIO SOL DE MAYO</t>
  </si>
  <si>
    <t xml:space="preserve">RUIZ DIAZ MIGUEL </t>
  </si>
  <si>
    <t>BARRIO QUINTA FERRE</t>
  </si>
  <si>
    <t xml:space="preserve">LOPEZ JAVIER RAMON </t>
  </si>
  <si>
    <t>BAHIA DEL SOL</t>
  </si>
  <si>
    <t xml:space="preserve">ROBLEDO RAMON </t>
  </si>
  <si>
    <t>BARRIO ESPERANZA</t>
  </si>
  <si>
    <t>ROMERO RAUL</t>
  </si>
  <si>
    <t>ROA MARIA MARTHA</t>
  </si>
  <si>
    <t>LA TOSQUERA ( RIO PARANA)</t>
  </si>
  <si>
    <t xml:space="preserve">AGUIRRE SANDRA NOEMI </t>
  </si>
  <si>
    <t>BARRIO LOMAS DEL MIRADOR</t>
  </si>
  <si>
    <t xml:space="preserve">MEDINA MARIA ESTELA </t>
  </si>
  <si>
    <t>LOMAS DEL MIRADOR PUENTE VERDE</t>
  </si>
  <si>
    <t>SILVA EUTAQUIA MARIA ESTELA</t>
  </si>
  <si>
    <t>MEDALLA MILAGOSA (INTERIOR)</t>
  </si>
  <si>
    <t xml:space="preserve">LOPEZ BARRIOS PAMELA </t>
  </si>
  <si>
    <t>FUNDACION UNIDOS</t>
  </si>
  <si>
    <t>BILLORDO FELIX</t>
  </si>
  <si>
    <t>BARRIOS DE PIE (ACTUAL LIBRES DEL SUR)</t>
  </si>
  <si>
    <t>ROMERO MARIA EVA</t>
  </si>
  <si>
    <t xml:space="preserve">CASTALLARI JOSE </t>
  </si>
  <si>
    <t xml:space="preserve">BARRIOS CLAUDIA </t>
  </si>
  <si>
    <t xml:space="preserve">CCC </t>
  </si>
  <si>
    <t xml:space="preserve">MAMBRIN CARMEN </t>
  </si>
  <si>
    <t>FRUTAS Y VERDURAS</t>
  </si>
  <si>
    <t>COMEDORES COMUNITARIOS DE LADRILLEROS</t>
  </si>
  <si>
    <t>CARNE</t>
  </si>
  <si>
    <t xml:space="preserve">SE LE ENTREGA SUJETO A LA DISPONIBILIDAD PRESUPUESTARIA DEL MINISTERIO Y DECISIÓN DEL MINISTRO.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</si>
</sst>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10.0"/>
      <color theme="1"/>
      <name val="Arial"/>
    </font>
    <font>
      <sz val="10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b/>
      <sz val="9.0"/>
      <color theme="1"/>
      <name val="Dubai"/>
    </font>
    <font>
      <b/>
      <sz val="14.0"/>
      <color theme="1"/>
      <name val="Arial Narrow"/>
    </font>
    <font/>
    <font>
      <b/>
      <sz val="12.0"/>
      <color theme="1"/>
      <name val="Arial Narrow"/>
    </font>
    <font>
      <b/>
      <sz val="11.0"/>
      <color theme="1"/>
      <name val="Arial Narrow"/>
    </font>
    <font>
      <b/>
      <sz val="10.0"/>
      <color theme="1"/>
      <name val="Arial Narrow"/>
    </font>
    <font>
      <i/>
      <sz val="8.0"/>
      <color theme="1"/>
      <name val="Arial Narrow"/>
    </font>
    <font>
      <sz val="11.0"/>
      <color rgb="FF000000"/>
      <name val="Calibri"/>
    </font>
    <font>
      <sz val="12.0"/>
      <color rgb="FF000000"/>
      <name val="Calibri"/>
    </font>
    <font>
      <sz val="12.0"/>
      <color theme="1"/>
      <name val="Arial"/>
    </font>
    <font>
      <b/>
      <i/>
      <sz val="10.0"/>
      <color theme="1"/>
      <name val="Arial Narrow"/>
    </font>
    <font>
      <b/>
      <sz val="11.0"/>
      <color rgb="FF000000"/>
      <name val="Arial Narrow"/>
    </font>
  </fonts>
  <fills count="14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</fills>
  <borders count="88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3" fontId="2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5" fillId="4" fontId="1" numFmtId="0" xfId="0" applyAlignment="1" applyBorder="1" applyFont="1">
      <alignment horizontal="left" vertical="center"/>
    </xf>
    <xf borderId="5" fillId="4" fontId="2" numFmtId="0" xfId="0" applyAlignment="1" applyBorder="1" applyFont="1">
      <alignment horizontal="left" vertical="center"/>
    </xf>
    <xf borderId="5" fillId="3" fontId="2" numFmtId="0" xfId="0" applyBorder="1" applyFont="1"/>
    <xf borderId="5" fillId="4" fontId="2" numFmtId="0" xfId="0" applyAlignment="1" applyBorder="1" applyFont="1">
      <alignment horizontal="center"/>
    </xf>
    <xf borderId="5" fillId="4" fontId="2" numFmtId="3" xfId="0" applyAlignment="1" applyBorder="1" applyFont="1" applyNumberFormat="1">
      <alignment horizontal="center"/>
    </xf>
    <xf borderId="5" fillId="4" fontId="2" numFmtId="0" xfId="0" applyBorder="1" applyFont="1"/>
    <xf borderId="5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left" vertical="center"/>
    </xf>
    <xf borderId="5" fillId="3" fontId="2" numFmtId="3" xfId="0" applyAlignment="1" applyBorder="1" applyFont="1" applyNumberFormat="1">
      <alignment horizontal="center"/>
    </xf>
    <xf borderId="5" fillId="3" fontId="2" numFmtId="0" xfId="0" applyAlignment="1" applyBorder="1" applyFont="1">
      <alignment horizontal="center"/>
    </xf>
    <xf borderId="5" fillId="4" fontId="1" numFmtId="0" xfId="0" applyBorder="1" applyFont="1"/>
    <xf borderId="5" fillId="3" fontId="1" numFmtId="0" xfId="0" applyBorder="1" applyFont="1"/>
    <xf borderId="5" fillId="3" fontId="2" numFmtId="0" xfId="0" applyAlignment="1" applyBorder="1" applyFont="1">
      <alignment horizontal="left"/>
    </xf>
    <xf borderId="5" fillId="3" fontId="1" numFmtId="0" xfId="0" applyAlignment="1" applyBorder="1" applyFont="1">
      <alignment horizontal="left" vertical="center"/>
    </xf>
    <xf borderId="5" fillId="3" fontId="2" numFmtId="3" xfId="0" applyAlignment="1" applyBorder="1" applyFont="1" applyNumberFormat="1">
      <alignment horizontal="left"/>
    </xf>
    <xf borderId="5" fillId="3" fontId="1" numFmtId="3" xfId="0" applyAlignment="1" applyBorder="1" applyFont="1" applyNumberFormat="1">
      <alignment horizontal="center"/>
    </xf>
    <xf borderId="5" fillId="5" fontId="2" numFmtId="0" xfId="0" applyAlignment="1" applyBorder="1" applyFill="1" applyFont="1">
      <alignment horizontal="center" vertical="center"/>
    </xf>
    <xf borderId="5" fillId="5" fontId="1" numFmtId="0" xfId="0" applyBorder="1" applyFont="1"/>
    <xf borderId="5" fillId="5" fontId="2" numFmtId="0" xfId="0" applyAlignment="1" applyBorder="1" applyFont="1">
      <alignment horizontal="left" vertical="center"/>
    </xf>
    <xf borderId="5" fillId="5" fontId="2" numFmtId="0" xfId="0" applyBorder="1" applyFont="1"/>
    <xf borderId="5" fillId="6" fontId="3" numFmtId="0" xfId="0" applyAlignment="1" applyBorder="1" applyFill="1" applyFont="1">
      <alignment horizontal="center" vertical="center"/>
    </xf>
    <xf borderId="5" fillId="6" fontId="3" numFmtId="0" xfId="0" applyAlignment="1" applyBorder="1" applyFont="1">
      <alignment horizontal="left" vertical="center"/>
    </xf>
    <xf borderId="5" fillId="6" fontId="3" numFmtId="3" xfId="0" applyAlignment="1" applyBorder="1" applyFont="1" applyNumberFormat="1">
      <alignment horizontal="center"/>
    </xf>
    <xf borderId="5" fillId="6" fontId="3" numFmtId="0" xfId="0" applyAlignment="1" applyBorder="1" applyFont="1">
      <alignment horizontal="center"/>
    </xf>
    <xf borderId="5" fillId="6" fontId="3" numFmtId="0" xfId="0" applyAlignment="1" applyBorder="1" applyFont="1">
      <alignment horizontal="left"/>
    </xf>
    <xf borderId="5" fillId="3" fontId="2" numFmtId="0" xfId="0" applyAlignment="1" applyBorder="1" applyFont="1">
      <alignment vertical="center"/>
    </xf>
    <xf borderId="5" fillId="4" fontId="2" numFmtId="0" xfId="0" applyAlignment="1" applyBorder="1" applyFont="1">
      <alignment vertical="center"/>
    </xf>
    <xf borderId="6" fillId="5" fontId="4" numFmtId="0" xfId="0" applyBorder="1" applyFont="1"/>
    <xf borderId="7" fillId="5" fontId="5" numFmtId="0" xfId="0" applyAlignment="1" applyBorder="1" applyFont="1">
      <alignment horizontal="center"/>
    </xf>
    <xf borderId="8" fillId="5" fontId="5" numFmtId="0" xfId="0" applyAlignment="1" applyBorder="1" applyFont="1">
      <alignment horizontal="center"/>
    </xf>
    <xf borderId="9" fillId="5" fontId="5" numFmtId="0" xfId="0" applyAlignment="1" applyBorder="1" applyFont="1">
      <alignment horizontal="center"/>
    </xf>
    <xf borderId="6" fillId="7" fontId="6" numFmtId="0" xfId="0" applyAlignment="1" applyBorder="1" applyFill="1" applyFont="1">
      <alignment horizontal="center"/>
    </xf>
    <xf borderId="6" fillId="7" fontId="7" numFmtId="0" xfId="0" applyAlignment="1" applyBorder="1" applyFont="1">
      <alignment horizontal="center"/>
    </xf>
    <xf borderId="10" fillId="8" fontId="6" numFmtId="0" xfId="0" applyAlignment="1" applyBorder="1" applyFill="1" applyFont="1">
      <alignment horizontal="center"/>
    </xf>
    <xf borderId="10" fillId="8" fontId="8" numFmtId="0" xfId="0" applyAlignment="1" applyBorder="1" applyFont="1">
      <alignment horizontal="left"/>
    </xf>
    <xf borderId="10" fillId="8" fontId="8" numFmtId="0" xfId="0" applyBorder="1" applyFont="1"/>
    <xf borderId="10" fillId="8" fontId="9" numFmtId="3" xfId="0" applyAlignment="1" applyBorder="1" applyFont="1" applyNumberFormat="1">
      <alignment horizontal="center"/>
    </xf>
    <xf borderId="10" fillId="8" fontId="9" numFmtId="0" xfId="0" applyAlignment="1" applyBorder="1" applyFont="1">
      <alignment horizontal="center"/>
    </xf>
    <xf borderId="11" fillId="8" fontId="9" numFmtId="0" xfId="0" applyAlignment="1" applyBorder="1" applyFont="1">
      <alignment horizontal="center"/>
    </xf>
    <xf borderId="4" fillId="8" fontId="8" numFmtId="0" xfId="0" applyAlignment="1" applyBorder="1" applyFont="1">
      <alignment horizontal="center"/>
    </xf>
    <xf borderId="4" fillId="3" fontId="6" numFmtId="0" xfId="0" applyAlignment="1" applyBorder="1" applyFont="1">
      <alignment horizontal="center"/>
    </xf>
    <xf borderId="4" fillId="3" fontId="8" numFmtId="0" xfId="0" applyAlignment="1" applyBorder="1" applyFont="1">
      <alignment horizontal="left"/>
    </xf>
    <xf borderId="4" fillId="3" fontId="8" numFmtId="0" xfId="0" applyBorder="1" applyFont="1"/>
    <xf borderId="4" fillId="3" fontId="9" numFmtId="3" xfId="0" applyAlignment="1" applyBorder="1" applyFont="1" applyNumberFormat="1">
      <alignment horizontal="center"/>
    </xf>
    <xf borderId="4" fillId="3" fontId="9" numFmtId="0" xfId="0" applyAlignment="1" applyBorder="1" applyFont="1">
      <alignment horizontal="center"/>
    </xf>
    <xf borderId="12" fillId="3" fontId="8" numFmtId="0" xfId="0" applyAlignment="1" applyBorder="1" applyFont="1">
      <alignment horizontal="center"/>
    </xf>
    <xf borderId="4" fillId="3" fontId="8" numFmtId="0" xfId="0" applyAlignment="1" applyBorder="1" applyFont="1">
      <alignment horizontal="center"/>
    </xf>
    <xf borderId="10" fillId="3" fontId="6" numFmtId="0" xfId="0" applyAlignment="1" applyBorder="1" applyFont="1">
      <alignment horizontal="center"/>
    </xf>
    <xf borderId="13" fillId="3" fontId="6" numFmtId="0" xfId="0" applyAlignment="1" applyBorder="1" applyFont="1">
      <alignment horizontal="center"/>
    </xf>
    <xf borderId="4" fillId="8" fontId="6" numFmtId="0" xfId="0" applyAlignment="1" applyBorder="1" applyFont="1">
      <alignment horizontal="center"/>
    </xf>
    <xf borderId="4" fillId="8" fontId="8" numFmtId="0" xfId="0" applyAlignment="1" applyBorder="1" applyFont="1">
      <alignment horizontal="left"/>
    </xf>
    <xf borderId="4" fillId="8" fontId="8" numFmtId="0" xfId="0" applyBorder="1" applyFont="1"/>
    <xf borderId="4" fillId="8" fontId="9" numFmtId="3" xfId="0" applyAlignment="1" applyBorder="1" applyFont="1" applyNumberFormat="1">
      <alignment horizontal="center"/>
    </xf>
    <xf borderId="4" fillId="8" fontId="9" numFmtId="0" xfId="0" applyAlignment="1" applyBorder="1" applyFont="1">
      <alignment horizontal="center"/>
    </xf>
    <xf borderId="12" fillId="8" fontId="8" numFmtId="0" xfId="0" applyAlignment="1" applyBorder="1" applyFont="1">
      <alignment horizontal="center"/>
    </xf>
    <xf borderId="14" fillId="3" fontId="6" numFmtId="0" xfId="0" applyAlignment="1" applyBorder="1" applyFont="1">
      <alignment horizontal="center"/>
    </xf>
    <xf borderId="14" fillId="3" fontId="8" numFmtId="0" xfId="0" applyAlignment="1" applyBorder="1" applyFont="1">
      <alignment horizontal="left"/>
    </xf>
    <xf borderId="14" fillId="3" fontId="8" numFmtId="0" xfId="0" applyBorder="1" applyFont="1"/>
    <xf borderId="14" fillId="3" fontId="9" numFmtId="3" xfId="0" applyAlignment="1" applyBorder="1" applyFont="1" applyNumberFormat="1">
      <alignment horizontal="center"/>
    </xf>
    <xf borderId="14" fillId="3" fontId="9" numFmtId="0" xfId="0" applyAlignment="1" applyBorder="1" applyFont="1">
      <alignment horizontal="center"/>
    </xf>
    <xf borderId="15" fillId="3" fontId="8" numFmtId="0" xfId="0" applyAlignment="1" applyBorder="1" applyFont="1">
      <alignment horizontal="center"/>
    </xf>
    <xf borderId="16" fillId="7" fontId="6" numFmtId="0" xfId="0" applyAlignment="1" applyBorder="1" applyFont="1">
      <alignment horizontal="center"/>
    </xf>
    <xf borderId="17" fillId="7" fontId="6" numFmtId="0" xfId="0" applyAlignment="1" applyBorder="1" applyFont="1">
      <alignment horizontal="center"/>
    </xf>
    <xf borderId="17" fillId="7" fontId="7" numFmtId="0" xfId="0" applyAlignment="1" applyBorder="1" applyFont="1">
      <alignment horizontal="left"/>
    </xf>
    <xf borderId="17" fillId="7" fontId="7" numFmtId="0" xfId="0" applyAlignment="1" applyBorder="1" applyFont="1">
      <alignment horizontal="center"/>
    </xf>
    <xf borderId="18" fillId="7" fontId="7" numFmtId="0" xfId="0" applyAlignment="1" applyBorder="1" applyFont="1">
      <alignment horizontal="center"/>
    </xf>
    <xf borderId="10" fillId="3" fontId="8" numFmtId="0" xfId="0" applyAlignment="1" applyBorder="1" applyFont="1">
      <alignment horizontal="left"/>
    </xf>
    <xf borderId="10" fillId="3" fontId="8" numFmtId="0" xfId="0" applyBorder="1" applyFont="1"/>
    <xf borderId="10" fillId="3" fontId="9" numFmtId="3" xfId="0" applyAlignment="1" applyBorder="1" applyFont="1" applyNumberFormat="1">
      <alignment horizontal="center"/>
    </xf>
    <xf borderId="10" fillId="3" fontId="9" numFmtId="0" xfId="0" applyAlignment="1" applyBorder="1" applyFont="1">
      <alignment horizontal="center"/>
    </xf>
    <xf borderId="11" fillId="3" fontId="8" numFmtId="0" xfId="0" applyAlignment="1" applyBorder="1" applyFont="1">
      <alignment horizontal="center"/>
    </xf>
    <xf borderId="19" fillId="7" fontId="6" numFmtId="0" xfId="0" applyAlignment="1" applyBorder="1" applyFont="1">
      <alignment horizontal="center"/>
    </xf>
    <xf borderId="4" fillId="0" fontId="8" numFmtId="0" xfId="0" applyBorder="1" applyFont="1"/>
    <xf borderId="4" fillId="0" fontId="9" numFmtId="3" xfId="0" applyAlignment="1" applyBorder="1" applyFont="1" applyNumberFormat="1">
      <alignment horizontal="center"/>
    </xf>
    <xf borderId="4" fillId="0" fontId="9" numFmtId="0" xfId="0" applyAlignment="1" applyBorder="1" applyFont="1">
      <alignment horizontal="center"/>
    </xf>
    <xf borderId="20" fillId="7" fontId="6" numFmtId="0" xfId="0" applyAlignment="1" applyBorder="1" applyFont="1">
      <alignment horizontal="center"/>
    </xf>
    <xf borderId="21" fillId="7" fontId="6" numFmtId="0" xfId="0" applyAlignment="1" applyBorder="1" applyFont="1">
      <alignment horizontal="center"/>
    </xf>
    <xf borderId="22" fillId="7" fontId="7" numFmtId="0" xfId="0" applyAlignment="1" applyBorder="1" applyFont="1">
      <alignment horizontal="center"/>
    </xf>
    <xf borderId="23" fillId="7" fontId="7" numFmtId="0" xfId="0" applyAlignment="1" applyBorder="1" applyFont="1">
      <alignment horizontal="center"/>
    </xf>
    <xf borderId="24" fillId="3" fontId="6" numFmtId="0" xfId="0" applyAlignment="1" applyBorder="1" applyFont="1">
      <alignment horizontal="center"/>
    </xf>
    <xf borderId="25" fillId="0" fontId="8" numFmtId="0" xfId="0" applyBorder="1" applyFont="1"/>
    <xf borderId="25" fillId="0" fontId="9" numFmtId="0" xfId="0" applyAlignment="1" applyBorder="1" applyFont="1">
      <alignment horizontal="center"/>
    </xf>
    <xf borderId="14" fillId="3" fontId="8" numFmtId="0" xfId="0" applyAlignment="1" applyBorder="1" applyFont="1">
      <alignment horizontal="center"/>
    </xf>
    <xf borderId="21" fillId="7" fontId="7" numFmtId="0" xfId="0" applyAlignment="1" applyBorder="1" applyFont="1">
      <alignment horizontal="center"/>
    </xf>
    <xf borderId="10" fillId="3" fontId="8" numFmtId="0" xfId="0" applyAlignment="1" applyBorder="1" applyFont="1">
      <alignment horizontal="center"/>
    </xf>
    <xf borderId="4" fillId="3" fontId="10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26" fillId="3" fontId="6" numFmtId="0" xfId="0" applyAlignment="1" applyBorder="1" applyFont="1">
      <alignment horizontal="center"/>
    </xf>
    <xf borderId="4" fillId="3" fontId="8" numFmtId="3" xfId="0" applyAlignment="1" applyBorder="1" applyFont="1" applyNumberFormat="1">
      <alignment horizontal="center"/>
    </xf>
    <xf borderId="20" fillId="8" fontId="6" numFmtId="0" xfId="0" applyAlignment="1" applyBorder="1" applyFont="1">
      <alignment horizontal="center"/>
    </xf>
    <xf borderId="17" fillId="8" fontId="6" numFmtId="0" xfId="0" applyAlignment="1" applyBorder="1" applyFont="1">
      <alignment horizontal="center"/>
    </xf>
    <xf borderId="17" fillId="8" fontId="7" numFmtId="0" xfId="0" applyAlignment="1" applyBorder="1" applyFont="1">
      <alignment horizontal="left"/>
    </xf>
    <xf borderId="22" fillId="8" fontId="7" numFmtId="0" xfId="0" applyAlignment="1" applyBorder="1" applyFont="1">
      <alignment horizontal="center"/>
    </xf>
    <xf borderId="16" fillId="8" fontId="7" numFmtId="0" xfId="0" applyAlignment="1" applyBorder="1" applyFont="1">
      <alignment horizontal="center"/>
    </xf>
    <xf borderId="18" fillId="8" fontId="7" numFmtId="0" xfId="0" applyAlignment="1" applyBorder="1" applyFont="1">
      <alignment horizontal="center"/>
    </xf>
    <xf borderId="27" fillId="8" fontId="7" numFmtId="0" xfId="0" applyAlignment="1" applyBorder="1" applyFont="1">
      <alignment horizontal="center"/>
    </xf>
    <xf borderId="10" fillId="3" fontId="5" numFmtId="0" xfId="0" applyAlignment="1" applyBorder="1" applyFont="1">
      <alignment horizontal="center"/>
    </xf>
    <xf borderId="11" fillId="3" fontId="4" numFmtId="0" xfId="0" applyAlignment="1" applyBorder="1" applyFont="1">
      <alignment horizontal="center"/>
    </xf>
    <xf borderId="28" fillId="0" fontId="4" numFmtId="0" xfId="0" applyAlignment="1" applyBorder="1" applyFont="1">
      <alignment horizontal="center"/>
    </xf>
    <xf borderId="4" fillId="3" fontId="4" numFmtId="0" xfId="0" applyAlignment="1" applyBorder="1" applyFont="1">
      <alignment horizontal="center"/>
    </xf>
    <xf borderId="4" fillId="3" fontId="4" numFmtId="0" xfId="0" applyAlignment="1" applyBorder="1" applyFont="1">
      <alignment horizontal="left"/>
    </xf>
    <xf borderId="4" fillId="3" fontId="4" numFmtId="0" xfId="0" applyBorder="1" applyFont="1"/>
    <xf borderId="12" fillId="3" fontId="4" numFmtId="0" xfId="0" applyAlignment="1" applyBorder="1" applyFont="1">
      <alignment horizontal="center"/>
    </xf>
    <xf borderId="16" fillId="9" fontId="4" numFmtId="0" xfId="0" applyBorder="1" applyFill="1" applyFont="1"/>
    <xf borderId="18" fillId="9" fontId="4" numFmtId="0" xfId="0" applyBorder="1" applyFont="1"/>
    <xf borderId="29" fillId="9" fontId="4" numFmtId="0" xfId="0" applyBorder="1" applyFont="1"/>
    <xf borderId="30" fillId="10" fontId="4" numFmtId="0" xfId="0" applyAlignment="1" applyBorder="1" applyFill="1" applyFont="1">
      <alignment horizontal="center"/>
    </xf>
    <xf borderId="10" fillId="10" fontId="4" numFmtId="0" xfId="0" applyBorder="1" applyFont="1"/>
    <xf borderId="31" fillId="10" fontId="4" numFmtId="0" xfId="0" applyBorder="1" applyFont="1"/>
    <xf borderId="32" fillId="0" fontId="4" numFmtId="0" xfId="0" applyAlignment="1" applyBorder="1" applyFont="1">
      <alignment horizontal="center"/>
    </xf>
    <xf borderId="4" fillId="0" fontId="4" numFmtId="0" xfId="0" applyBorder="1" applyFont="1"/>
    <xf borderId="33" fillId="0" fontId="4" numFmtId="0" xfId="0" applyBorder="1" applyFont="1"/>
    <xf borderId="34" fillId="0" fontId="4" numFmtId="0" xfId="0" applyAlignment="1" applyBorder="1" applyFont="1">
      <alignment horizontal="center"/>
    </xf>
    <xf borderId="35" fillId="0" fontId="4" numFmtId="0" xfId="0" applyAlignment="1" applyBorder="1" applyFont="1">
      <alignment horizontal="center"/>
    </xf>
    <xf borderId="36" fillId="0" fontId="4" numFmtId="0" xfId="0" applyBorder="1" applyFont="1"/>
    <xf borderId="37" fillId="0" fontId="4" numFmtId="0" xfId="0" applyBorder="1" applyFont="1"/>
    <xf borderId="16" fillId="11" fontId="11" numFmtId="0" xfId="0" applyAlignment="1" applyBorder="1" applyFill="1" applyFont="1">
      <alignment horizontal="center" vertical="top"/>
    </xf>
    <xf borderId="17" fillId="11" fontId="11" numFmtId="0" xfId="0" applyAlignment="1" applyBorder="1" applyFont="1">
      <alignment horizontal="center" vertical="top"/>
    </xf>
    <xf borderId="22" fillId="11" fontId="11" numFmtId="0" xfId="0" applyAlignment="1" applyBorder="1" applyFont="1">
      <alignment horizontal="center" vertical="top"/>
    </xf>
    <xf borderId="6" fillId="11" fontId="11" numFmtId="0" xfId="0" applyAlignment="1" applyBorder="1" applyFont="1">
      <alignment horizontal="center" vertical="top"/>
    </xf>
    <xf borderId="38" fillId="0" fontId="4" numFmtId="0" xfId="0" applyBorder="1" applyFont="1"/>
    <xf borderId="39" fillId="0" fontId="4" numFmtId="0" xfId="0" applyBorder="1" applyFont="1"/>
    <xf borderId="39" fillId="0" fontId="4" numFmtId="0" xfId="0" applyAlignment="1" applyBorder="1" applyFont="1">
      <alignment horizontal="center"/>
    </xf>
    <xf borderId="40" fillId="0" fontId="5" numFmtId="0" xfId="0" applyBorder="1" applyFont="1"/>
    <xf borderId="32" fillId="0" fontId="4" numFmtId="0" xfId="0" applyBorder="1" applyFont="1"/>
    <xf borderId="4" fillId="0" fontId="4" numFmtId="0" xfId="0" applyAlignment="1" applyBorder="1" applyFont="1">
      <alignment horizontal="center"/>
    </xf>
    <xf borderId="33" fillId="0" fontId="5" numFmtId="0" xfId="0" applyBorder="1" applyFont="1"/>
    <xf borderId="35" fillId="0" fontId="4" numFmtId="0" xfId="0" applyBorder="1" applyFont="1"/>
    <xf borderId="36" fillId="0" fontId="4" numFmtId="0" xfId="0" applyAlignment="1" applyBorder="1" applyFont="1">
      <alignment horizontal="center"/>
    </xf>
    <xf borderId="37" fillId="0" fontId="5" numFmtId="0" xfId="0" applyBorder="1" applyFont="1"/>
    <xf borderId="38" fillId="5" fontId="4" numFmtId="0" xfId="0" applyBorder="1" applyFont="1"/>
    <xf borderId="40" fillId="5" fontId="4" numFmtId="0" xfId="0" applyBorder="1" applyFont="1"/>
    <xf borderId="35" fillId="5" fontId="4" numFmtId="0" xfId="0" applyBorder="1" applyFont="1"/>
    <xf borderId="37" fillId="5" fontId="4" numFmtId="0" xfId="0" applyBorder="1" applyFont="1"/>
    <xf borderId="16" fillId="8" fontId="6" numFmtId="0" xfId="0" applyAlignment="1" applyBorder="1" applyFont="1">
      <alignment horizontal="center"/>
    </xf>
    <xf borderId="18" fillId="8" fontId="7" numFmtId="0" xfId="0" applyAlignment="1" applyBorder="1" applyFont="1">
      <alignment horizontal="left"/>
    </xf>
    <xf borderId="16" fillId="8" fontId="4" numFmtId="0" xfId="0" applyBorder="1" applyFont="1"/>
    <xf borderId="17" fillId="8" fontId="4" numFmtId="0" xfId="0" applyBorder="1" applyFont="1"/>
    <xf borderId="22" fillId="8" fontId="4" numFmtId="0" xfId="0" applyBorder="1" applyFont="1"/>
    <xf borderId="38" fillId="12" fontId="4" numFmtId="0" xfId="0" applyAlignment="1" applyBorder="1" applyFill="1" applyFont="1">
      <alignment horizontal="center"/>
    </xf>
    <xf borderId="39" fillId="12" fontId="6" numFmtId="0" xfId="0" applyAlignment="1" applyBorder="1" applyFont="1">
      <alignment horizontal="center"/>
    </xf>
    <xf borderId="39" fillId="12" fontId="8" numFmtId="0" xfId="0" applyAlignment="1" applyBorder="1" applyFont="1">
      <alignment horizontal="left"/>
    </xf>
    <xf borderId="39" fillId="12" fontId="8" numFmtId="0" xfId="0" applyBorder="1" applyFont="1"/>
    <xf borderId="39" fillId="12" fontId="4" numFmtId="0" xfId="0" applyBorder="1" applyFont="1"/>
    <xf borderId="32" fillId="12" fontId="4" numFmtId="0" xfId="0" applyBorder="1" applyFont="1"/>
    <xf borderId="4" fillId="12" fontId="4" numFmtId="0" xfId="0" applyBorder="1" applyFont="1"/>
    <xf borderId="35" fillId="12" fontId="4" numFmtId="0" xfId="0" applyBorder="1" applyFont="1"/>
    <xf borderId="36" fillId="12" fontId="4" numFmtId="0" xfId="0" applyBorder="1" applyFont="1"/>
    <xf borderId="38" fillId="0" fontId="4" numFmtId="0" xfId="0" applyAlignment="1" applyBorder="1" applyFont="1">
      <alignment horizontal="center"/>
    </xf>
    <xf borderId="39" fillId="3" fontId="6" numFmtId="0" xfId="0" applyAlignment="1" applyBorder="1" applyFont="1">
      <alignment horizontal="center"/>
    </xf>
    <xf borderId="39" fillId="3" fontId="8" numFmtId="0" xfId="0" applyAlignment="1" applyBorder="1" applyFont="1">
      <alignment horizontal="left"/>
    </xf>
    <xf borderId="39" fillId="3" fontId="8" numFmtId="0" xfId="0" applyBorder="1" applyFont="1"/>
    <xf borderId="38" fillId="3" fontId="4" numFmtId="0" xfId="0" applyAlignment="1" applyBorder="1" applyFont="1">
      <alignment horizontal="center"/>
    </xf>
    <xf borderId="39" fillId="12" fontId="4" numFmtId="0" xfId="0" applyAlignment="1" applyBorder="1" applyFont="1">
      <alignment horizontal="left"/>
    </xf>
    <xf borderId="41" fillId="13" fontId="12" numFmtId="0" xfId="0" applyAlignment="1" applyBorder="1" applyFill="1" applyFont="1">
      <alignment horizontal="center"/>
    </xf>
    <xf borderId="42" fillId="0" fontId="13" numFmtId="0" xfId="0" applyBorder="1" applyFont="1"/>
    <xf borderId="43" fillId="0" fontId="13" numFmtId="0" xfId="0" applyBorder="1" applyFont="1"/>
    <xf borderId="44" fillId="0" fontId="13" numFmtId="0" xfId="0" applyBorder="1" applyFont="1"/>
    <xf borderId="45" fillId="0" fontId="13" numFmtId="0" xfId="0" applyBorder="1" applyFont="1"/>
    <xf borderId="46" fillId="0" fontId="13" numFmtId="0" xfId="0" applyBorder="1" applyFont="1"/>
    <xf borderId="0" fillId="0" fontId="12" numFmtId="0" xfId="0" applyAlignment="1" applyFont="1">
      <alignment horizontal="center"/>
    </xf>
    <xf borderId="47" fillId="0" fontId="14" numFmtId="0" xfId="0" applyAlignment="1" applyBorder="1" applyFont="1">
      <alignment horizontal="center"/>
    </xf>
    <xf borderId="48" fillId="0" fontId="14" numFmtId="0" xfId="0" applyAlignment="1" applyBorder="1" applyFont="1">
      <alignment horizontal="center"/>
    </xf>
    <xf borderId="49" fillId="0" fontId="14" numFmtId="0" xfId="0" applyAlignment="1" applyBorder="1" applyFont="1">
      <alignment horizontal="center"/>
    </xf>
    <xf borderId="50" fillId="0" fontId="5" numFmtId="0" xfId="0" applyAlignment="1" applyBorder="1" applyFont="1">
      <alignment horizontal="center"/>
    </xf>
    <xf borderId="50" fillId="0" fontId="14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14" numFmtId="0" xfId="0" applyAlignment="1" applyBorder="1" applyFont="1">
      <alignment horizontal="center"/>
    </xf>
    <xf borderId="51" fillId="5" fontId="5" numFmtId="0" xfId="0" applyAlignment="1" applyBorder="1" applyFont="1">
      <alignment horizontal="right"/>
    </xf>
    <xf borderId="52" fillId="0" fontId="13" numFmtId="0" xfId="0" applyBorder="1" applyFont="1"/>
    <xf borderId="53" fillId="0" fontId="13" numFmtId="0" xfId="0" applyBorder="1" applyFont="1"/>
    <xf borderId="54" fillId="13" fontId="15" numFmtId="0" xfId="0" applyAlignment="1" applyBorder="1" applyFont="1">
      <alignment horizontal="center"/>
    </xf>
    <xf borderId="55" fillId="0" fontId="13" numFmtId="0" xfId="0" applyBorder="1" applyFont="1"/>
    <xf borderId="56" fillId="0" fontId="13" numFmtId="0" xfId="0" applyBorder="1" applyFont="1"/>
    <xf borderId="4" fillId="5" fontId="4" numFmtId="0" xfId="0" applyAlignment="1" applyBorder="1" applyFont="1">
      <alignment horizontal="center"/>
    </xf>
    <xf borderId="38" fillId="0" fontId="5" numFmtId="0" xfId="0" applyAlignment="1" applyBorder="1" applyFont="1">
      <alignment horizontal="center"/>
    </xf>
    <xf borderId="40" fillId="0" fontId="5" numFmtId="0" xfId="0" applyAlignment="1" applyBorder="1" applyFont="1">
      <alignment horizontal="center"/>
    </xf>
    <xf borderId="35" fillId="0" fontId="5" numFmtId="0" xfId="0" applyAlignment="1" applyBorder="1" applyFont="1">
      <alignment horizontal="center"/>
    </xf>
    <xf borderId="37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57" fillId="5" fontId="5" numFmtId="0" xfId="0" applyAlignment="1" applyBorder="1" applyFont="1">
      <alignment horizontal="center"/>
    </xf>
    <xf borderId="58" fillId="5" fontId="5" numFmtId="0" xfId="0" applyAlignment="1" applyBorder="1" applyFont="1">
      <alignment horizontal="center"/>
    </xf>
    <xf borderId="8" fillId="0" fontId="13" numFmtId="0" xfId="0" applyBorder="1" applyFont="1"/>
    <xf borderId="9" fillId="0" fontId="13" numFmtId="0" xfId="0" applyBorder="1" applyFont="1"/>
    <xf borderId="50" fillId="0" fontId="4" numFmtId="0" xfId="0" applyBorder="1" applyFont="1"/>
    <xf borderId="59" fillId="0" fontId="4" numFmtId="0" xfId="0" applyAlignment="1" applyBorder="1" applyFont="1">
      <alignment horizontal="center"/>
    </xf>
    <xf borderId="33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37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Font="1"/>
    <xf borderId="6" fillId="0" fontId="5" numFmtId="0" xfId="0" applyAlignment="1" applyBorder="1" applyFont="1">
      <alignment horizontal="center"/>
    </xf>
    <xf borderId="7" fillId="0" fontId="15" numFmtId="0" xfId="0" applyAlignment="1" applyBorder="1" applyFont="1">
      <alignment horizontal="center"/>
    </xf>
    <xf borderId="60" fillId="0" fontId="6" numFmtId="0" xfId="0" applyAlignment="1" applyBorder="1" applyFont="1">
      <alignment horizontal="center"/>
    </xf>
    <xf borderId="60" fillId="0" fontId="16" numFmtId="0" xfId="0" applyAlignment="1" applyBorder="1" applyFont="1">
      <alignment horizontal="center" shrinkToFit="0" wrapText="1"/>
    </xf>
    <xf borderId="60" fillId="0" fontId="16" numFmtId="0" xfId="0" applyAlignment="1" applyBorder="1" applyFont="1">
      <alignment horizontal="center"/>
    </xf>
    <xf borderId="42" fillId="0" fontId="17" numFmtId="0" xfId="0" applyAlignment="1" applyBorder="1" applyFont="1">
      <alignment horizontal="center" shrinkToFit="0" vertical="center" wrapText="1"/>
    </xf>
    <xf borderId="60" fillId="0" fontId="17" numFmtId="0" xfId="0" applyAlignment="1" applyBorder="1" applyFont="1">
      <alignment horizontal="center" shrinkToFit="0" vertical="center" wrapText="1"/>
    </xf>
    <xf borderId="43" fillId="0" fontId="17" numFmtId="0" xfId="0" applyAlignment="1" applyBorder="1" applyFont="1">
      <alignment horizontal="center" shrinkToFit="0" vertical="center" wrapText="1"/>
    </xf>
    <xf borderId="61" fillId="0" fontId="13" numFmtId="0" xfId="0" applyBorder="1" applyFont="1"/>
    <xf borderId="62" fillId="0" fontId="4" numFmtId="0" xfId="0" applyAlignment="1" applyBorder="1" applyFont="1">
      <alignment horizontal="center"/>
    </xf>
    <xf borderId="63" fillId="0" fontId="18" numFmtId="0" xfId="0" applyAlignment="1" applyBorder="1" applyFont="1">
      <alignment horizontal="center"/>
    </xf>
    <xf borderId="62" fillId="0" fontId="4" numFmtId="0" xfId="0" applyAlignment="1" applyBorder="1" applyFont="1">
      <alignment horizontal="left"/>
    </xf>
    <xf borderId="62" fillId="0" fontId="18" numFmtId="3" xfId="0" applyAlignment="1" applyBorder="1" applyFont="1" applyNumberFormat="1">
      <alignment horizontal="center"/>
    </xf>
    <xf borderId="63" fillId="0" fontId="4" numFmtId="0" xfId="0" applyAlignment="1" applyBorder="1" applyFont="1">
      <alignment horizontal="center"/>
    </xf>
    <xf borderId="64" fillId="0" fontId="4" numFmtId="0" xfId="0" applyAlignment="1" applyBorder="1" applyFont="1">
      <alignment horizontal="center"/>
    </xf>
    <xf borderId="65" fillId="0" fontId="18" numFmtId="0" xfId="0" applyAlignment="1" applyBorder="1" applyFont="1">
      <alignment horizontal="center"/>
    </xf>
    <xf borderId="66" fillId="0" fontId="4" numFmtId="0" xfId="0" applyAlignment="1" applyBorder="1" applyFont="1">
      <alignment horizontal="left"/>
    </xf>
    <xf borderId="66" fillId="0" fontId="18" numFmtId="3" xfId="0" applyAlignment="1" applyBorder="1" applyFont="1" applyNumberFormat="1">
      <alignment horizontal="center"/>
    </xf>
    <xf borderId="65" fillId="0" fontId="4" numFmtId="0" xfId="0" applyAlignment="1" applyBorder="1" applyFont="1">
      <alignment horizontal="center"/>
    </xf>
    <xf borderId="66" fillId="0" fontId="4" numFmtId="0" xfId="0" applyAlignment="1" applyBorder="1" applyFont="1">
      <alignment horizontal="center"/>
    </xf>
    <xf borderId="67" fillId="0" fontId="4" numFmtId="0" xfId="0" applyAlignment="1" applyBorder="1" applyFont="1">
      <alignment horizontal="center"/>
    </xf>
    <xf borderId="68" fillId="0" fontId="18" numFmtId="0" xfId="0" applyAlignment="1" applyBorder="1" applyFont="1">
      <alignment horizontal="center"/>
    </xf>
    <xf borderId="69" fillId="0" fontId="4" numFmtId="0" xfId="0" applyAlignment="1" applyBorder="1" applyFont="1">
      <alignment horizontal="left"/>
    </xf>
    <xf borderId="69" fillId="0" fontId="18" numFmtId="3" xfId="0" applyAlignment="1" applyBorder="1" applyFont="1" applyNumberFormat="1">
      <alignment horizontal="center"/>
    </xf>
    <xf borderId="70" fillId="0" fontId="4" numFmtId="0" xfId="0" applyAlignment="1" applyBorder="1" applyFont="1">
      <alignment horizontal="center"/>
    </xf>
    <xf borderId="71" fillId="0" fontId="4" numFmtId="0" xfId="0" applyAlignment="1" applyBorder="1" applyFont="1">
      <alignment horizontal="center"/>
    </xf>
    <xf borderId="72" fillId="0" fontId="4" numFmtId="0" xfId="0" applyAlignment="1" applyBorder="1" applyFont="1">
      <alignment horizontal="center"/>
    </xf>
    <xf borderId="73" fillId="0" fontId="4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70" fillId="0" fontId="4" numFmtId="0" xfId="0" applyAlignment="1" applyBorder="1" applyFont="1">
      <alignment horizontal="left"/>
    </xf>
    <xf borderId="74" fillId="0" fontId="18" numFmtId="3" xfId="0" applyAlignment="1" applyBorder="1" applyFont="1" applyNumberFormat="1">
      <alignment horizontal="center"/>
    </xf>
    <xf borderId="75" fillId="0" fontId="4" numFmtId="0" xfId="0" applyAlignment="1" applyBorder="1" applyFont="1">
      <alignment horizontal="center"/>
    </xf>
    <xf borderId="76" fillId="0" fontId="4" numFmtId="0" xfId="0" applyAlignment="1" applyBorder="1" applyFont="1">
      <alignment horizontal="center"/>
    </xf>
    <xf borderId="77" fillId="0" fontId="18" numFmtId="3" xfId="0" applyAlignment="1" applyBorder="1" applyFont="1" applyNumberFormat="1">
      <alignment horizontal="center"/>
    </xf>
    <xf borderId="66" fillId="0" fontId="18" numFmtId="0" xfId="0" applyAlignment="1" applyBorder="1" applyFont="1">
      <alignment horizontal="left"/>
    </xf>
    <xf borderId="78" fillId="0" fontId="18" numFmtId="3" xfId="0" applyAlignment="1" applyBorder="1" applyFont="1" applyNumberFormat="1">
      <alignment horizontal="center"/>
    </xf>
    <xf borderId="69" fillId="0" fontId="4" numFmtId="0" xfId="0" applyAlignment="1" applyBorder="1" applyFont="1">
      <alignment horizontal="center"/>
    </xf>
    <xf borderId="68" fillId="0" fontId="4" numFmtId="0" xfId="0" applyAlignment="1" applyBorder="1" applyFont="1">
      <alignment horizontal="center"/>
    </xf>
    <xf borderId="76" fillId="0" fontId="18" numFmtId="0" xfId="0" applyAlignment="1" applyBorder="1" applyFont="1">
      <alignment horizontal="center"/>
    </xf>
    <xf borderId="75" fillId="0" fontId="4" numFmtId="0" xfId="0" applyAlignment="1" applyBorder="1" applyFont="1">
      <alignment horizontal="left"/>
    </xf>
    <xf borderId="75" fillId="0" fontId="18" numFmtId="3" xfId="0" applyAlignment="1" applyBorder="1" applyFont="1" applyNumberFormat="1">
      <alignment horizontal="center"/>
    </xf>
    <xf borderId="79" fillId="0" fontId="4" numFmtId="0" xfId="0" applyAlignment="1" applyBorder="1" applyFont="1">
      <alignment horizontal="center"/>
    </xf>
    <xf borderId="75" fillId="0" fontId="18" numFmtId="0" xfId="0" applyAlignment="1" applyBorder="1" applyFont="1">
      <alignment horizontal="left"/>
    </xf>
    <xf borderId="42" fillId="0" fontId="4" numFmtId="0" xfId="0" applyAlignment="1" applyBorder="1" applyFont="1">
      <alignment horizontal="center"/>
    </xf>
    <xf borderId="60" fillId="0" fontId="4" numFmtId="0" xfId="0" applyAlignment="1" applyBorder="1" applyFont="1">
      <alignment horizontal="center"/>
    </xf>
    <xf borderId="80" fillId="0" fontId="4" numFmtId="0" xfId="0" applyAlignment="1" applyBorder="1" applyFont="1">
      <alignment horizontal="center"/>
    </xf>
    <xf borderId="69" fillId="0" fontId="18" numFmtId="0" xfId="0" applyAlignment="1" applyBorder="1" applyFont="1">
      <alignment horizontal="left"/>
    </xf>
    <xf borderId="62" fillId="0" fontId="18" numFmtId="0" xfId="0" applyAlignment="1" applyBorder="1" applyFont="1">
      <alignment horizontal="left"/>
    </xf>
    <xf borderId="80" fillId="0" fontId="18" numFmtId="0" xfId="0" applyAlignment="1" applyBorder="1" applyFont="1">
      <alignment horizontal="center"/>
    </xf>
    <xf borderId="75" fillId="0" fontId="18" numFmtId="0" xfId="0" applyAlignment="1" applyBorder="1" applyFont="1">
      <alignment horizontal="center"/>
    </xf>
    <xf borderId="67" fillId="0" fontId="18" numFmtId="0" xfId="0" applyAlignment="1" applyBorder="1" applyFont="1">
      <alignment horizontal="center"/>
    </xf>
    <xf borderId="66" fillId="0" fontId="18" numFmtId="0" xfId="0" applyAlignment="1" applyBorder="1" applyFont="1">
      <alignment horizontal="center"/>
    </xf>
    <xf borderId="79" fillId="0" fontId="18" numFmtId="0" xfId="0" applyAlignment="1" applyBorder="1" applyFont="1">
      <alignment horizontal="center"/>
    </xf>
    <xf borderId="69" fillId="0" fontId="19" numFmtId="0" xfId="0" applyAlignment="1" applyBorder="1" applyFont="1">
      <alignment horizontal="center" vertical="center"/>
    </xf>
    <xf borderId="69" fillId="0" fontId="18" numFmtId="3" xfId="0" applyAlignment="1" applyBorder="1" applyFont="1" applyNumberFormat="1">
      <alignment horizontal="center" shrinkToFit="0" wrapText="1"/>
    </xf>
    <xf borderId="80" fillId="0" fontId="4" numFmtId="0" xfId="0" applyAlignment="1" applyBorder="1" applyFont="1">
      <alignment horizontal="left"/>
    </xf>
    <xf borderId="81" fillId="0" fontId="18" numFmtId="3" xfId="0" applyAlignment="1" applyBorder="1" applyFont="1" applyNumberFormat="1">
      <alignment horizontal="center"/>
    </xf>
    <xf borderId="67" fillId="0" fontId="18" numFmtId="0" xfId="0" applyAlignment="1" applyBorder="1" applyFont="1">
      <alignment horizontal="left"/>
    </xf>
    <xf borderId="0" fillId="0" fontId="4" numFmtId="3" xfId="0" applyAlignment="1" applyFont="1" applyNumberFormat="1">
      <alignment horizontal="center"/>
    </xf>
    <xf borderId="69" fillId="0" fontId="18" numFmtId="0" xfId="0" applyAlignment="1" applyBorder="1" applyFont="1">
      <alignment horizontal="center"/>
    </xf>
    <xf borderId="79" fillId="0" fontId="18" numFmtId="0" xfId="0" applyAlignment="1" applyBorder="1" applyFont="1">
      <alignment horizontal="left"/>
    </xf>
    <xf borderId="80" fillId="0" fontId="18" numFmtId="0" xfId="0" applyAlignment="1" applyBorder="1" applyFont="1">
      <alignment horizontal="left"/>
    </xf>
    <xf borderId="72" fillId="0" fontId="18" numFmtId="0" xfId="0" applyAlignment="1" applyBorder="1" applyFont="1">
      <alignment horizontal="center"/>
    </xf>
    <xf borderId="73" fillId="0" fontId="18" numFmtId="0" xfId="0" applyAlignment="1" applyBorder="1" applyFont="1">
      <alignment horizontal="left"/>
    </xf>
    <xf borderId="71" fillId="0" fontId="18" numFmtId="0" xfId="0" applyAlignment="1" applyBorder="1" applyFont="1">
      <alignment horizontal="center"/>
    </xf>
    <xf borderId="72" fillId="0" fontId="18" numFmtId="3" xfId="0" applyAlignment="1" applyBorder="1" applyFont="1" applyNumberFormat="1">
      <alignment horizontal="center"/>
    </xf>
    <xf borderId="67" fillId="0" fontId="4" numFmtId="0" xfId="0" applyAlignment="1" applyBorder="1" applyFont="1">
      <alignment horizontal="left"/>
    </xf>
    <xf borderId="62" fillId="0" fontId="18" numFmtId="0" xfId="0" applyAlignment="1" applyBorder="1" applyFont="1">
      <alignment horizontal="center"/>
    </xf>
    <xf borderId="64" fillId="0" fontId="18" numFmtId="0" xfId="0" applyAlignment="1" applyBorder="1" applyFont="1">
      <alignment horizontal="left"/>
    </xf>
    <xf borderId="66" fillId="0" fontId="2" numFmtId="0" xfId="0" applyAlignment="1" applyBorder="1" applyFont="1">
      <alignment horizontal="center"/>
    </xf>
    <xf borderId="67" fillId="0" fontId="2" numFmtId="0" xfId="0" applyBorder="1" applyFont="1"/>
    <xf borderId="65" fillId="0" fontId="2" numFmtId="0" xfId="0" applyAlignment="1" applyBorder="1" applyFont="1">
      <alignment horizontal="center"/>
    </xf>
    <xf borderId="77" fillId="0" fontId="4" numFmtId="0" xfId="0" applyAlignment="1" applyBorder="1" applyFont="1">
      <alignment horizontal="center"/>
    </xf>
    <xf borderId="76" fillId="0" fontId="18" numFmtId="3" xfId="0" applyAlignment="1" applyBorder="1" applyFont="1" applyNumberFormat="1">
      <alignment horizontal="center"/>
    </xf>
    <xf borderId="65" fillId="0" fontId="18" numFmtId="3" xfId="0" applyAlignment="1" applyBorder="1" applyFont="1" applyNumberFormat="1">
      <alignment horizontal="center"/>
    </xf>
    <xf borderId="65" fillId="0" fontId="4" numFmtId="0" xfId="0" applyAlignment="1" applyBorder="1" applyFont="1">
      <alignment horizontal="center" vertical="center"/>
    </xf>
    <xf borderId="66" fillId="0" fontId="4" numFmtId="0" xfId="0" applyBorder="1" applyFont="1"/>
    <xf borderId="82" fillId="0" fontId="4" numFmtId="0" xfId="0" applyAlignment="1" applyBorder="1" applyFont="1">
      <alignment horizontal="center"/>
    </xf>
    <xf borderId="72" fillId="0" fontId="4" numFmtId="0" xfId="0" applyAlignment="1" applyBorder="1" applyFont="1">
      <alignment horizontal="left"/>
    </xf>
    <xf borderId="71" fillId="0" fontId="4" numFmtId="3" xfId="0" applyAlignment="1" applyBorder="1" applyFont="1" applyNumberFormat="1">
      <alignment horizontal="center" vertical="center"/>
    </xf>
    <xf borderId="72" fillId="0" fontId="4" numFmtId="0" xfId="0" applyBorder="1" applyFont="1"/>
    <xf borderId="83" fillId="3" fontId="2" numFmtId="0" xfId="0" applyAlignment="1" applyBorder="1" applyFont="1">
      <alignment horizontal="center"/>
    </xf>
    <xf borderId="84" fillId="3" fontId="20" numFmtId="3" xfId="0" applyAlignment="1" applyBorder="1" applyFont="1" applyNumberFormat="1">
      <alignment horizontal="center"/>
    </xf>
    <xf borderId="61" fillId="0" fontId="4" numFmtId="0" xfId="0" applyAlignment="1" applyBorder="1" applyFont="1">
      <alignment horizontal="center"/>
    </xf>
    <xf borderId="57" fillId="3" fontId="4" numFmtId="0" xfId="0" applyAlignment="1" applyBorder="1" applyFont="1">
      <alignment horizontal="center"/>
    </xf>
    <xf borderId="4" fillId="3" fontId="5" numFmtId="0" xfId="0" applyAlignment="1" applyBorder="1" applyFont="1">
      <alignment horizontal="center"/>
    </xf>
    <xf borderId="4" fillId="3" fontId="4" numFmtId="0" xfId="0" applyAlignment="1" applyBorder="1" applyFont="1">
      <alignment horizontal="center" vertical="center"/>
    </xf>
    <xf borderId="23" fillId="5" fontId="5" numFmtId="0" xfId="0" applyAlignment="1" applyBorder="1" applyFont="1">
      <alignment horizontal="center"/>
    </xf>
    <xf borderId="29" fillId="5" fontId="5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 vertical="center"/>
    </xf>
    <xf borderId="42" fillId="0" fontId="16" numFmtId="0" xfId="0" applyAlignment="1" applyBorder="1" applyFont="1">
      <alignment horizontal="center"/>
    </xf>
    <xf borderId="42" fillId="0" fontId="16" numFmtId="0" xfId="0" applyAlignment="1" applyBorder="1" applyFont="1">
      <alignment horizontal="center" vertical="center"/>
    </xf>
    <xf borderId="60" fillId="0" fontId="21" numFmtId="0" xfId="0" applyAlignment="1" applyBorder="1" applyFont="1">
      <alignment horizontal="center" shrinkToFit="0" vertical="center" wrapText="1"/>
    </xf>
    <xf borderId="42" fillId="0" fontId="21" numFmtId="0" xfId="0" applyAlignment="1" applyBorder="1" applyFont="1">
      <alignment horizontal="center" shrinkToFit="0" vertical="center" wrapText="1"/>
    </xf>
    <xf borderId="62" fillId="0" fontId="13" numFmtId="0" xfId="0" applyBorder="1" applyFont="1"/>
    <xf borderId="63" fillId="0" fontId="13" numFmtId="0" xfId="0" applyBorder="1" applyFont="1"/>
    <xf borderId="81" fillId="0" fontId="4" numFmtId="0" xfId="0" applyAlignment="1" applyBorder="1" applyFont="1">
      <alignment horizontal="center"/>
    </xf>
    <xf borderId="76" fillId="0" fontId="8" numFmtId="0" xfId="0" applyAlignment="1" applyBorder="1" applyFont="1">
      <alignment horizontal="left"/>
    </xf>
    <xf borderId="65" fillId="0" fontId="18" numFmtId="0" xfId="0" applyAlignment="1" applyBorder="1" applyFont="1">
      <alignment horizontal="left"/>
    </xf>
    <xf borderId="65" fillId="0" fontId="4" numFmtId="0" xfId="0" applyAlignment="1" applyBorder="1" applyFont="1">
      <alignment horizontal="left"/>
    </xf>
    <xf borderId="65" fillId="0" fontId="2" numFmtId="0" xfId="0" applyBorder="1" applyFont="1"/>
    <xf borderId="70" fillId="0" fontId="4" numFmtId="3" xfId="0" applyAlignment="1" applyBorder="1" applyFont="1" applyNumberFormat="1">
      <alignment horizontal="center" vertical="center"/>
    </xf>
    <xf borderId="85" fillId="0" fontId="6" numFmtId="0" xfId="0" applyAlignment="1" applyBorder="1" applyFont="1">
      <alignment horizontal="center"/>
    </xf>
    <xf borderId="4" fillId="0" fontId="8" numFmtId="0" xfId="0" applyAlignment="1" applyBorder="1" applyFont="1">
      <alignment horizontal="left"/>
    </xf>
    <xf borderId="66" fillId="3" fontId="2" numFmtId="0" xfId="0" applyAlignment="1" applyBorder="1" applyFont="1">
      <alignment horizontal="center"/>
    </xf>
    <xf borderId="65" fillId="0" fontId="4" numFmtId="0" xfId="0" applyBorder="1" applyFont="1"/>
    <xf borderId="65" fillId="0" fontId="4" numFmtId="3" xfId="0" applyAlignment="1" applyBorder="1" applyFont="1" applyNumberFormat="1">
      <alignment horizontal="center"/>
    </xf>
    <xf borderId="65" fillId="0" fontId="4" numFmtId="3" xfId="0" applyBorder="1" applyFont="1" applyNumberFormat="1"/>
    <xf borderId="78" fillId="0" fontId="4" numFmtId="0" xfId="0" applyAlignment="1" applyBorder="1" applyFont="1">
      <alignment horizontal="center"/>
    </xf>
    <xf borderId="68" fillId="0" fontId="4" numFmtId="0" xfId="0" applyAlignment="1" applyBorder="1" applyFont="1">
      <alignment horizontal="left"/>
    </xf>
    <xf borderId="86" fillId="3" fontId="22" numFmtId="0" xfId="0" applyAlignment="1" applyBorder="1" applyFont="1">
      <alignment horizontal="center"/>
    </xf>
    <xf borderId="87" fillId="3" fontId="22" numFmtId="0" xfId="0" applyAlignment="1" applyBorder="1" applyFont="1">
      <alignment horizontal="center"/>
    </xf>
    <xf borderId="86" fillId="5" fontId="5" numFmtId="0" xfId="0" applyAlignment="1" applyBorder="1" applyFont="1">
      <alignment horizontal="center"/>
    </xf>
    <xf borderId="87" fillId="5" fontId="5" numFmtId="0" xfId="0" applyAlignment="1" applyBorder="1" applyFont="1">
      <alignment horizontal="center"/>
    </xf>
    <xf borderId="7" fillId="13" fontId="5" numFmtId="0" xfId="0" applyAlignment="1" applyBorder="1" applyFont="1">
      <alignment horizontal="center"/>
    </xf>
    <xf borderId="41" fillId="0" fontId="5" numFmtId="0" xfId="0" applyAlignment="1" applyBorder="1" applyFont="1">
      <alignment horizontal="center"/>
    </xf>
    <xf borderId="43" fillId="0" fontId="5" numFmtId="0" xfId="0" applyAlignment="1" applyBorder="1" applyFont="1">
      <alignment horizontal="center"/>
    </xf>
    <xf borderId="32" fillId="0" fontId="5" numFmtId="0" xfId="0" applyAlignment="1" applyBorder="1" applyFont="1">
      <alignment horizontal="center"/>
    </xf>
    <xf borderId="33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ojedav.MDS/Downloads/DSA/BECAS/COCINEROS/Cocineros_2023-Mayo(Recuperado%20autom&#225;ticamente).xlsb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Criterios-Montos"/>
      <sheetName val="Diciembre 2021"/>
      <sheetName val="Diciembre 2022"/>
      <sheetName val="PLUS Enero 2023"/>
      <sheetName val="Enero 2023"/>
      <sheetName val="Febrero 2023"/>
      <sheetName val="Marzo 2023"/>
      <sheetName val="Abril 2023"/>
      <sheetName val="Mayo 2023"/>
      <sheetName val="JUNIO 2023"/>
      <sheetName val="JULIO 2023"/>
      <sheetName val="AGOSTO 2023"/>
      <sheetName val="SEPTIEMBRE 2023"/>
      <sheetName val="OCTUBRE 2023"/>
      <sheetName val="NOVIEMBRE 2023"/>
      <sheetName val="DICIEMBRE 2023"/>
      <sheetName val="ENERO 2024 "/>
      <sheetName val="FEBRERO 2024"/>
      <sheetName val="MARZO 2024"/>
      <sheetName val="ABRIL 2024"/>
      <sheetName val="MAYO 2024"/>
      <sheetName val="JUNIO 2024"/>
      <sheetName val="AGOSTO 2024"/>
      <sheetName val="SEPTIEMBRE 2024"/>
      <sheetName val="OCTUBRE 2024"/>
      <sheetName val="NOVIEMBRE 2024"/>
      <sheetName val="DICIEMBRE 2024"/>
      <sheetName val="ENERO 2025"/>
      <sheetName val="FEBRERO 2025"/>
      <sheetName val="MARZO 2025"/>
      <sheetName val="MAYO 2025"/>
      <sheetName val="JUNIO 2025"/>
      <sheetName val="SEPTIEMBRE 2025"/>
      <sheetName val="OCTUBRE 2025"/>
      <sheetName val="NOVIEMBRE 2025"/>
      <sheetName val="Cocineros_2023-Mayo(Recuperado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6.14"/>
    <col customWidth="1" min="3" max="3" width="56.86"/>
    <col customWidth="1" min="4" max="4" width="142.86"/>
    <col customWidth="1" min="5" max="5" width="10.71"/>
    <col customWidth="1" min="6" max="6" width="26.71"/>
    <col customWidth="1" min="7" max="7" width="10.71"/>
    <col customWidth="1" min="8" max="8" width="7.0"/>
    <col customWidth="1" min="9" max="9" width="17.0"/>
    <col customWidth="1" min="10" max="10" width="15.0"/>
    <col customWidth="1" min="11" max="11" width="4.43"/>
    <col customWidth="1" min="12" max="12" width="6.14"/>
    <col customWidth="1" min="13" max="13" width="24.43"/>
    <col customWidth="1" min="1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>
      <c r="A3" s="6" t="s">
        <v>14</v>
      </c>
      <c r="B3" s="7" t="s">
        <v>15</v>
      </c>
      <c r="C3" s="8" t="s">
        <v>15</v>
      </c>
      <c r="D3" s="8" t="s">
        <v>16</v>
      </c>
      <c r="E3" s="6"/>
      <c r="F3" s="6" t="s">
        <v>17</v>
      </c>
      <c r="G3" s="6" t="s">
        <v>18</v>
      </c>
      <c r="H3" s="9"/>
      <c r="I3" s="10" t="s">
        <v>19</v>
      </c>
      <c r="J3" s="10" t="s">
        <v>20</v>
      </c>
      <c r="K3" s="11">
        <v>75.0</v>
      </c>
      <c r="L3" s="11"/>
      <c r="M3" s="12" t="s">
        <v>21</v>
      </c>
    </row>
    <row r="4">
      <c r="A4" s="6" t="s">
        <v>14</v>
      </c>
      <c r="B4" s="7" t="s">
        <v>15</v>
      </c>
      <c r="C4" s="8" t="s">
        <v>15</v>
      </c>
      <c r="D4" s="8" t="s">
        <v>16</v>
      </c>
      <c r="E4" s="6"/>
      <c r="F4" s="6" t="s">
        <v>17</v>
      </c>
      <c r="G4" s="6" t="s">
        <v>18</v>
      </c>
      <c r="H4" s="9"/>
      <c r="I4" s="11" t="s">
        <v>19</v>
      </c>
      <c r="J4" s="10" t="s">
        <v>22</v>
      </c>
      <c r="K4" s="11">
        <v>60.0</v>
      </c>
      <c r="L4" s="11"/>
      <c r="M4" s="12" t="s">
        <v>21</v>
      </c>
    </row>
    <row r="5">
      <c r="A5" s="13" t="s">
        <v>23</v>
      </c>
      <c r="B5" s="14" t="s">
        <v>24</v>
      </c>
      <c r="C5" s="14" t="s">
        <v>24</v>
      </c>
      <c r="D5" s="14" t="s">
        <v>25</v>
      </c>
      <c r="E5" s="13" t="s">
        <v>26</v>
      </c>
      <c r="F5" s="13" t="s">
        <v>27</v>
      </c>
      <c r="G5" s="13" t="s">
        <v>28</v>
      </c>
      <c r="H5" s="15">
        <v>100.0</v>
      </c>
      <c r="I5" s="15" t="s">
        <v>29</v>
      </c>
      <c r="J5" s="16" t="s">
        <v>22</v>
      </c>
      <c r="K5" s="16"/>
      <c r="L5" s="16"/>
      <c r="M5" s="9"/>
    </row>
    <row r="6">
      <c r="A6" s="6" t="s">
        <v>23</v>
      </c>
      <c r="B6" s="17" t="s">
        <v>30</v>
      </c>
      <c r="C6" s="8" t="s">
        <v>31</v>
      </c>
      <c r="D6" s="8" t="s">
        <v>32</v>
      </c>
      <c r="E6" s="6" t="s">
        <v>33</v>
      </c>
      <c r="F6" s="6" t="s">
        <v>27</v>
      </c>
      <c r="G6" s="6" t="s">
        <v>28</v>
      </c>
      <c r="H6" s="9"/>
      <c r="I6" s="11" t="s">
        <v>19</v>
      </c>
      <c r="J6" s="10" t="s">
        <v>22</v>
      </c>
      <c r="K6" s="10">
        <v>115.0</v>
      </c>
      <c r="L6" s="10"/>
      <c r="M6" s="12" t="s">
        <v>21</v>
      </c>
    </row>
    <row r="7">
      <c r="A7" s="6" t="s">
        <v>23</v>
      </c>
      <c r="B7" s="7" t="s">
        <v>30</v>
      </c>
      <c r="C7" s="8" t="s">
        <v>31</v>
      </c>
      <c r="D7" s="8" t="s">
        <v>32</v>
      </c>
      <c r="E7" s="6" t="s">
        <v>33</v>
      </c>
      <c r="F7" s="6" t="s">
        <v>27</v>
      </c>
      <c r="G7" s="6" t="s">
        <v>28</v>
      </c>
      <c r="H7" s="9"/>
      <c r="I7" s="10" t="s">
        <v>19</v>
      </c>
      <c r="J7" s="10" t="s">
        <v>20</v>
      </c>
      <c r="K7" s="10">
        <v>110.0</v>
      </c>
      <c r="L7" s="10"/>
      <c r="M7" s="12" t="s">
        <v>21</v>
      </c>
    </row>
    <row r="8">
      <c r="A8" s="13" t="s">
        <v>23</v>
      </c>
      <c r="B8" s="18" t="s">
        <v>30</v>
      </c>
      <c r="C8" s="14" t="s">
        <v>34</v>
      </c>
      <c r="D8" s="14" t="s">
        <v>32</v>
      </c>
      <c r="E8" s="13" t="s">
        <v>35</v>
      </c>
      <c r="F8" s="13" t="s">
        <v>27</v>
      </c>
      <c r="G8" s="13" t="s">
        <v>28</v>
      </c>
      <c r="H8" s="15">
        <v>60.0</v>
      </c>
      <c r="I8" s="15" t="s">
        <v>19</v>
      </c>
      <c r="J8" s="16" t="s">
        <v>22</v>
      </c>
      <c r="K8" s="16"/>
      <c r="L8" s="16"/>
      <c r="M8" s="19"/>
    </row>
    <row r="9">
      <c r="A9" s="13" t="s">
        <v>23</v>
      </c>
      <c r="B9" s="18" t="s">
        <v>30</v>
      </c>
      <c r="C9" s="14" t="s">
        <v>36</v>
      </c>
      <c r="D9" s="14" t="s">
        <v>37</v>
      </c>
      <c r="E9" s="13" t="s">
        <v>38</v>
      </c>
      <c r="F9" s="13" t="s">
        <v>27</v>
      </c>
      <c r="G9" s="13" t="s">
        <v>28</v>
      </c>
      <c r="H9" s="15">
        <v>25.0</v>
      </c>
      <c r="I9" s="15" t="s">
        <v>19</v>
      </c>
      <c r="J9" s="16" t="s">
        <v>22</v>
      </c>
      <c r="K9" s="9"/>
      <c r="L9" s="16"/>
      <c r="M9" s="19"/>
    </row>
    <row r="10">
      <c r="A10" s="13" t="s">
        <v>23</v>
      </c>
      <c r="B10" s="20" t="s">
        <v>30</v>
      </c>
      <c r="C10" s="14" t="s">
        <v>36</v>
      </c>
      <c r="D10" s="14" t="s">
        <v>37</v>
      </c>
      <c r="E10" s="13" t="s">
        <v>38</v>
      </c>
      <c r="F10" s="13" t="s">
        <v>27</v>
      </c>
      <c r="G10" s="13" t="s">
        <v>28</v>
      </c>
      <c r="H10" s="15">
        <v>30.0</v>
      </c>
      <c r="I10" s="16" t="s">
        <v>19</v>
      </c>
      <c r="J10" s="16" t="s">
        <v>20</v>
      </c>
      <c r="K10" s="9"/>
      <c r="L10" s="16"/>
      <c r="M10" s="19"/>
    </row>
    <row r="11">
      <c r="A11" s="6" t="s">
        <v>23</v>
      </c>
      <c r="B11" s="17" t="s">
        <v>30</v>
      </c>
      <c r="C11" s="8" t="s">
        <v>39</v>
      </c>
      <c r="D11" s="8" t="s">
        <v>40</v>
      </c>
      <c r="E11" s="6" t="s">
        <v>41</v>
      </c>
      <c r="F11" s="6" t="s">
        <v>27</v>
      </c>
      <c r="G11" s="6" t="s">
        <v>28</v>
      </c>
      <c r="H11" s="9"/>
      <c r="I11" s="11" t="s">
        <v>19</v>
      </c>
      <c r="J11" s="10" t="s">
        <v>22</v>
      </c>
      <c r="K11" s="10">
        <v>60.0</v>
      </c>
      <c r="L11" s="10"/>
      <c r="M11" s="12" t="s">
        <v>21</v>
      </c>
    </row>
    <row r="12">
      <c r="A12" s="6" t="s">
        <v>23</v>
      </c>
      <c r="B12" s="7" t="s">
        <v>30</v>
      </c>
      <c r="C12" s="8" t="s">
        <v>39</v>
      </c>
      <c r="D12" s="8" t="s">
        <v>40</v>
      </c>
      <c r="E12" s="6" t="s">
        <v>41</v>
      </c>
      <c r="F12" s="6" t="s">
        <v>27</v>
      </c>
      <c r="G12" s="6" t="s">
        <v>28</v>
      </c>
      <c r="H12" s="9"/>
      <c r="I12" s="10" t="s">
        <v>19</v>
      </c>
      <c r="J12" s="10" t="s">
        <v>20</v>
      </c>
      <c r="K12" s="10">
        <v>90.0</v>
      </c>
      <c r="L12" s="10"/>
      <c r="M12" s="12" t="s">
        <v>21</v>
      </c>
    </row>
    <row r="13">
      <c r="A13" s="13" t="s">
        <v>23</v>
      </c>
      <c r="B13" s="18" t="s">
        <v>42</v>
      </c>
      <c r="C13" s="14" t="s">
        <v>42</v>
      </c>
      <c r="D13" s="14" t="s">
        <v>43</v>
      </c>
      <c r="E13" s="13" t="s">
        <v>44</v>
      </c>
      <c r="F13" s="13" t="s">
        <v>27</v>
      </c>
      <c r="G13" s="13" t="s">
        <v>28</v>
      </c>
      <c r="H13" s="15">
        <v>250.0</v>
      </c>
      <c r="I13" s="15" t="s">
        <v>29</v>
      </c>
      <c r="J13" s="16" t="s">
        <v>20</v>
      </c>
      <c r="K13" s="16"/>
      <c r="L13" s="16"/>
      <c r="M13" s="19"/>
    </row>
    <row r="14">
      <c r="A14" s="6" t="s">
        <v>14</v>
      </c>
      <c r="B14" s="17" t="s">
        <v>45</v>
      </c>
      <c r="C14" s="8" t="s">
        <v>45</v>
      </c>
      <c r="D14" s="8" t="s">
        <v>46</v>
      </c>
      <c r="E14" s="6" t="s">
        <v>47</v>
      </c>
      <c r="F14" s="6" t="s">
        <v>48</v>
      </c>
      <c r="G14" s="6" t="s">
        <v>49</v>
      </c>
      <c r="H14" s="9"/>
      <c r="I14" s="11" t="s">
        <v>19</v>
      </c>
      <c r="J14" s="10" t="s">
        <v>22</v>
      </c>
      <c r="K14" s="10">
        <v>35.0</v>
      </c>
      <c r="L14" s="10"/>
      <c r="M14" s="12" t="s">
        <v>21</v>
      </c>
    </row>
    <row r="15">
      <c r="A15" s="6" t="s">
        <v>14</v>
      </c>
      <c r="B15" s="7" t="s">
        <v>45</v>
      </c>
      <c r="C15" s="8" t="s">
        <v>45</v>
      </c>
      <c r="D15" s="8" t="s">
        <v>46</v>
      </c>
      <c r="E15" s="6" t="s">
        <v>47</v>
      </c>
      <c r="F15" s="6" t="s">
        <v>48</v>
      </c>
      <c r="G15" s="6" t="s">
        <v>49</v>
      </c>
      <c r="H15" s="9"/>
      <c r="I15" s="10" t="s">
        <v>19</v>
      </c>
      <c r="J15" s="10" t="s">
        <v>20</v>
      </c>
      <c r="K15" s="10">
        <v>60.0</v>
      </c>
      <c r="L15" s="10"/>
      <c r="M15" s="12" t="s">
        <v>21</v>
      </c>
    </row>
    <row r="16">
      <c r="A16" s="13" t="s">
        <v>14</v>
      </c>
      <c r="B16" s="18" t="s">
        <v>50</v>
      </c>
      <c r="C16" s="9" t="s">
        <v>50</v>
      </c>
      <c r="D16" s="14" t="s">
        <v>51</v>
      </c>
      <c r="E16" s="13" t="s">
        <v>52</v>
      </c>
      <c r="F16" s="13" t="s">
        <v>48</v>
      </c>
      <c r="G16" s="13" t="s">
        <v>49</v>
      </c>
      <c r="H16" s="15">
        <v>30.0</v>
      </c>
      <c r="I16" s="15" t="s">
        <v>29</v>
      </c>
      <c r="J16" s="16" t="s">
        <v>22</v>
      </c>
      <c r="K16" s="9"/>
      <c r="L16" s="9"/>
      <c r="M16" s="19"/>
    </row>
    <row r="17">
      <c r="A17" s="13" t="s">
        <v>23</v>
      </c>
      <c r="B17" s="18" t="s">
        <v>53</v>
      </c>
      <c r="C17" s="14" t="s">
        <v>53</v>
      </c>
      <c r="D17" s="14" t="s">
        <v>54</v>
      </c>
      <c r="E17" s="13" t="s">
        <v>55</v>
      </c>
      <c r="F17" s="13" t="s">
        <v>56</v>
      </c>
      <c r="G17" s="13" t="s">
        <v>57</v>
      </c>
      <c r="H17" s="15">
        <v>50.0</v>
      </c>
      <c r="I17" s="15" t="s">
        <v>29</v>
      </c>
      <c r="J17" s="16" t="s">
        <v>22</v>
      </c>
      <c r="K17" s="16"/>
      <c r="L17" s="16"/>
      <c r="M17" s="19"/>
    </row>
    <row r="18">
      <c r="A18" s="13" t="s">
        <v>23</v>
      </c>
      <c r="B18" s="18" t="s">
        <v>53</v>
      </c>
      <c r="C18" s="14" t="s">
        <v>53</v>
      </c>
      <c r="D18" s="14" t="s">
        <v>54</v>
      </c>
      <c r="E18" s="13" t="s">
        <v>55</v>
      </c>
      <c r="F18" s="13" t="s">
        <v>56</v>
      </c>
      <c r="G18" s="13" t="s">
        <v>57</v>
      </c>
      <c r="H18" s="15">
        <v>50.0</v>
      </c>
      <c r="I18" s="15" t="s">
        <v>29</v>
      </c>
      <c r="J18" s="16" t="s">
        <v>20</v>
      </c>
      <c r="K18" s="16"/>
      <c r="L18" s="16"/>
      <c r="M18" s="19"/>
    </row>
    <row r="19">
      <c r="A19" s="13" t="s">
        <v>23</v>
      </c>
      <c r="B19" s="18" t="s">
        <v>58</v>
      </c>
      <c r="C19" s="14" t="s">
        <v>58</v>
      </c>
      <c r="D19" s="14" t="s">
        <v>59</v>
      </c>
      <c r="E19" s="13" t="s">
        <v>60</v>
      </c>
      <c r="F19" s="13" t="s">
        <v>56</v>
      </c>
      <c r="G19" s="13" t="s">
        <v>57</v>
      </c>
      <c r="H19" s="15">
        <f>90+20+25</f>
        <v>135</v>
      </c>
      <c r="I19" s="15" t="s">
        <v>29</v>
      </c>
      <c r="J19" s="16" t="s">
        <v>22</v>
      </c>
      <c r="K19" s="16"/>
      <c r="L19" s="16"/>
      <c r="M19" s="19"/>
    </row>
    <row r="20">
      <c r="A20" s="13" t="s">
        <v>23</v>
      </c>
      <c r="B20" s="18" t="s">
        <v>58</v>
      </c>
      <c r="C20" s="14" t="s">
        <v>58</v>
      </c>
      <c r="D20" s="14" t="s">
        <v>59</v>
      </c>
      <c r="E20" s="13" t="s">
        <v>60</v>
      </c>
      <c r="F20" s="13" t="s">
        <v>56</v>
      </c>
      <c r="G20" s="13" t="s">
        <v>57</v>
      </c>
      <c r="H20" s="15">
        <f>20+20</f>
        <v>40</v>
      </c>
      <c r="I20" s="15" t="s">
        <v>29</v>
      </c>
      <c r="J20" s="16" t="s">
        <v>20</v>
      </c>
      <c r="K20" s="16"/>
      <c r="L20" s="16"/>
      <c r="M20" s="21"/>
    </row>
    <row r="21" ht="15.75" customHeight="1">
      <c r="A21" s="13" t="s">
        <v>23</v>
      </c>
      <c r="B21" s="18" t="s">
        <v>61</v>
      </c>
      <c r="C21" s="14" t="s">
        <v>61</v>
      </c>
      <c r="D21" s="14" t="s">
        <v>62</v>
      </c>
      <c r="E21" s="13" t="s">
        <v>63</v>
      </c>
      <c r="F21" s="13" t="s">
        <v>56</v>
      </c>
      <c r="G21" s="13" t="s">
        <v>57</v>
      </c>
      <c r="H21" s="15">
        <v>50.0</v>
      </c>
      <c r="I21" s="15" t="s">
        <v>29</v>
      </c>
      <c r="J21" s="16" t="s">
        <v>22</v>
      </c>
      <c r="K21" s="16"/>
      <c r="L21" s="16"/>
      <c r="M21" s="19"/>
    </row>
    <row r="22" ht="15.75" customHeight="1">
      <c r="A22" s="13" t="s">
        <v>23</v>
      </c>
      <c r="B22" s="18" t="s">
        <v>61</v>
      </c>
      <c r="C22" s="14" t="s">
        <v>61</v>
      </c>
      <c r="D22" s="14" t="s">
        <v>62</v>
      </c>
      <c r="E22" s="13" t="s">
        <v>63</v>
      </c>
      <c r="F22" s="13" t="s">
        <v>56</v>
      </c>
      <c r="G22" s="13" t="s">
        <v>57</v>
      </c>
      <c r="H22" s="15">
        <v>50.0</v>
      </c>
      <c r="I22" s="15" t="s">
        <v>29</v>
      </c>
      <c r="J22" s="16" t="s">
        <v>20</v>
      </c>
      <c r="K22" s="16"/>
      <c r="L22" s="16"/>
      <c r="M22" s="19"/>
    </row>
    <row r="23" ht="15.75" customHeight="1">
      <c r="A23" s="13" t="s">
        <v>23</v>
      </c>
      <c r="B23" s="18" t="s">
        <v>64</v>
      </c>
      <c r="C23" s="14" t="s">
        <v>64</v>
      </c>
      <c r="D23" s="14" t="s">
        <v>65</v>
      </c>
      <c r="E23" s="13" t="s">
        <v>66</v>
      </c>
      <c r="F23" s="13" t="s">
        <v>56</v>
      </c>
      <c r="G23" s="13" t="s">
        <v>57</v>
      </c>
      <c r="H23" s="15">
        <f>130+20</f>
        <v>150</v>
      </c>
      <c r="I23" s="15" t="s">
        <v>29</v>
      </c>
      <c r="J23" s="16" t="s">
        <v>22</v>
      </c>
      <c r="K23" s="16"/>
      <c r="L23" s="16"/>
      <c r="M23" s="21"/>
    </row>
    <row r="24" ht="15.75" customHeight="1">
      <c r="A24" s="13" t="s">
        <v>23</v>
      </c>
      <c r="B24" s="18" t="s">
        <v>64</v>
      </c>
      <c r="C24" s="14" t="s">
        <v>64</v>
      </c>
      <c r="D24" s="14" t="s">
        <v>65</v>
      </c>
      <c r="E24" s="13" t="s">
        <v>66</v>
      </c>
      <c r="F24" s="13" t="s">
        <v>56</v>
      </c>
      <c r="G24" s="13" t="s">
        <v>57</v>
      </c>
      <c r="H24" s="15">
        <v>50.0</v>
      </c>
      <c r="I24" s="15" t="s">
        <v>29</v>
      </c>
      <c r="J24" s="16" t="s">
        <v>20</v>
      </c>
      <c r="K24" s="16"/>
      <c r="L24" s="16"/>
      <c r="M24" s="19"/>
    </row>
    <row r="25" ht="15.75" customHeight="1">
      <c r="A25" s="13" t="s">
        <v>23</v>
      </c>
      <c r="B25" s="18" t="s">
        <v>67</v>
      </c>
      <c r="C25" s="14" t="s">
        <v>67</v>
      </c>
      <c r="D25" s="14" t="s">
        <v>68</v>
      </c>
      <c r="E25" s="13" t="s">
        <v>69</v>
      </c>
      <c r="F25" s="13" t="s">
        <v>56</v>
      </c>
      <c r="G25" s="13" t="s">
        <v>57</v>
      </c>
      <c r="H25" s="15">
        <v>65.0</v>
      </c>
      <c r="I25" s="15" t="s">
        <v>29</v>
      </c>
      <c r="J25" s="16" t="s">
        <v>22</v>
      </c>
      <c r="K25" s="16"/>
      <c r="L25" s="16"/>
      <c r="M25" s="21"/>
    </row>
    <row r="26" ht="15.75" customHeight="1">
      <c r="A26" s="13" t="s">
        <v>23</v>
      </c>
      <c r="B26" s="18" t="s">
        <v>67</v>
      </c>
      <c r="C26" s="14" t="s">
        <v>67</v>
      </c>
      <c r="D26" s="14" t="s">
        <v>68</v>
      </c>
      <c r="E26" s="13" t="s">
        <v>69</v>
      </c>
      <c r="F26" s="13" t="s">
        <v>56</v>
      </c>
      <c r="G26" s="13" t="s">
        <v>57</v>
      </c>
      <c r="H26" s="15">
        <f>65+20</f>
        <v>85</v>
      </c>
      <c r="I26" s="15" t="s">
        <v>29</v>
      </c>
      <c r="J26" s="16" t="s">
        <v>20</v>
      </c>
      <c r="K26" s="16"/>
      <c r="L26" s="16"/>
      <c r="M26" s="19"/>
    </row>
    <row r="27" ht="15.75" customHeight="1">
      <c r="A27" s="13" t="s">
        <v>23</v>
      </c>
      <c r="B27" s="18" t="s">
        <v>70</v>
      </c>
      <c r="C27" s="14" t="s">
        <v>70</v>
      </c>
      <c r="D27" s="14" t="s">
        <v>71</v>
      </c>
      <c r="E27" s="13" t="s">
        <v>72</v>
      </c>
      <c r="F27" s="13" t="s">
        <v>56</v>
      </c>
      <c r="G27" s="13" t="s">
        <v>57</v>
      </c>
      <c r="H27" s="15">
        <f>50+25+45</f>
        <v>120</v>
      </c>
      <c r="I27" s="15" t="s">
        <v>29</v>
      </c>
      <c r="J27" s="16" t="s">
        <v>22</v>
      </c>
      <c r="K27" s="9"/>
      <c r="L27" s="9"/>
      <c r="M27" s="19"/>
    </row>
    <row r="28" ht="15.75" customHeight="1">
      <c r="A28" s="13" t="s">
        <v>23</v>
      </c>
      <c r="B28" s="18" t="s">
        <v>70</v>
      </c>
      <c r="C28" s="14" t="s">
        <v>70</v>
      </c>
      <c r="D28" s="14" t="s">
        <v>71</v>
      </c>
      <c r="E28" s="13" t="s">
        <v>72</v>
      </c>
      <c r="F28" s="13" t="s">
        <v>56</v>
      </c>
      <c r="G28" s="13" t="s">
        <v>57</v>
      </c>
      <c r="H28" s="15">
        <f>60+25+25</f>
        <v>110</v>
      </c>
      <c r="I28" s="15" t="s">
        <v>29</v>
      </c>
      <c r="J28" s="16" t="s">
        <v>20</v>
      </c>
      <c r="K28" s="9"/>
      <c r="L28" s="9"/>
      <c r="M28" s="19"/>
    </row>
    <row r="29" ht="15.75" customHeight="1">
      <c r="A29" s="13" t="s">
        <v>73</v>
      </c>
      <c r="B29" s="18" t="s">
        <v>74</v>
      </c>
      <c r="C29" s="14" t="s">
        <v>74</v>
      </c>
      <c r="D29" s="14" t="s">
        <v>75</v>
      </c>
      <c r="E29" s="13" t="s">
        <v>76</v>
      </c>
      <c r="F29" s="13" t="s">
        <v>77</v>
      </c>
      <c r="G29" s="13" t="s">
        <v>78</v>
      </c>
      <c r="H29" s="22">
        <f>20+20</f>
        <v>40</v>
      </c>
      <c r="I29" s="15" t="s">
        <v>29</v>
      </c>
      <c r="J29" s="16" t="s">
        <v>20</v>
      </c>
      <c r="K29" s="9"/>
      <c r="L29" s="9"/>
      <c r="M29" s="19"/>
    </row>
    <row r="30" ht="15.75" customHeight="1">
      <c r="A30" s="13" t="s">
        <v>73</v>
      </c>
      <c r="B30" s="18" t="s">
        <v>79</v>
      </c>
      <c r="C30" s="14" t="s">
        <v>79</v>
      </c>
      <c r="D30" s="14" t="s">
        <v>80</v>
      </c>
      <c r="E30" s="13" t="s">
        <v>81</v>
      </c>
      <c r="F30" s="13" t="s">
        <v>77</v>
      </c>
      <c r="G30" s="13" t="s">
        <v>78</v>
      </c>
      <c r="H30" s="22">
        <v>50.0</v>
      </c>
      <c r="I30" s="15" t="s">
        <v>29</v>
      </c>
      <c r="J30" s="16" t="s">
        <v>20</v>
      </c>
      <c r="K30" s="9"/>
      <c r="L30" s="9"/>
      <c r="M30" s="19"/>
    </row>
    <row r="31" ht="15.75" customHeight="1">
      <c r="A31" s="13" t="s">
        <v>82</v>
      </c>
      <c r="B31" s="18" t="s">
        <v>83</v>
      </c>
      <c r="C31" s="14" t="s">
        <v>83</v>
      </c>
      <c r="D31" s="14" t="s">
        <v>84</v>
      </c>
      <c r="E31" s="13" t="s">
        <v>85</v>
      </c>
      <c r="F31" s="13" t="s">
        <v>77</v>
      </c>
      <c r="G31" s="13" t="s">
        <v>86</v>
      </c>
      <c r="H31" s="16">
        <v>150.0</v>
      </c>
      <c r="I31" s="15" t="s">
        <v>19</v>
      </c>
      <c r="J31" s="16" t="s">
        <v>22</v>
      </c>
      <c r="K31" s="16"/>
      <c r="L31" s="16"/>
      <c r="M31" s="9"/>
    </row>
    <row r="32" ht="15.75" customHeight="1">
      <c r="A32" s="6" t="s">
        <v>82</v>
      </c>
      <c r="B32" s="17" t="s">
        <v>87</v>
      </c>
      <c r="C32" s="8" t="s">
        <v>87</v>
      </c>
      <c r="D32" s="8" t="s">
        <v>88</v>
      </c>
      <c r="E32" s="6" t="s">
        <v>89</v>
      </c>
      <c r="F32" s="6" t="s">
        <v>77</v>
      </c>
      <c r="G32" s="6" t="s">
        <v>86</v>
      </c>
      <c r="H32" s="9"/>
      <c r="I32" s="11" t="s">
        <v>19</v>
      </c>
      <c r="J32" s="10" t="s">
        <v>22</v>
      </c>
      <c r="K32" s="10">
        <v>45.0</v>
      </c>
      <c r="L32" s="10"/>
      <c r="M32" s="12" t="s">
        <v>21</v>
      </c>
    </row>
    <row r="33" ht="15.75" customHeight="1">
      <c r="A33" s="6" t="s">
        <v>82</v>
      </c>
      <c r="B33" s="7" t="s">
        <v>87</v>
      </c>
      <c r="C33" s="8" t="s">
        <v>87</v>
      </c>
      <c r="D33" s="8" t="s">
        <v>88</v>
      </c>
      <c r="E33" s="6" t="s">
        <v>89</v>
      </c>
      <c r="F33" s="6" t="s">
        <v>77</v>
      </c>
      <c r="G33" s="6" t="s">
        <v>86</v>
      </c>
      <c r="H33" s="9"/>
      <c r="I33" s="10" t="s">
        <v>19</v>
      </c>
      <c r="J33" s="10" t="s">
        <v>20</v>
      </c>
      <c r="K33" s="10">
        <v>40.0</v>
      </c>
      <c r="L33" s="10"/>
      <c r="M33" s="12" t="s">
        <v>21</v>
      </c>
    </row>
    <row r="34" ht="15.75" customHeight="1">
      <c r="A34" s="6" t="s">
        <v>82</v>
      </c>
      <c r="B34" s="17" t="s">
        <v>90</v>
      </c>
      <c r="C34" s="8" t="s">
        <v>90</v>
      </c>
      <c r="D34" s="8" t="s">
        <v>91</v>
      </c>
      <c r="E34" s="6" t="s">
        <v>92</v>
      </c>
      <c r="F34" s="6" t="s">
        <v>77</v>
      </c>
      <c r="G34" s="6" t="s">
        <v>93</v>
      </c>
      <c r="H34" s="9"/>
      <c r="I34" s="11" t="s">
        <v>19</v>
      </c>
      <c r="J34" s="10" t="s">
        <v>22</v>
      </c>
      <c r="K34" s="10">
        <v>45.0</v>
      </c>
      <c r="L34" s="10"/>
      <c r="M34" s="12" t="s">
        <v>21</v>
      </c>
    </row>
    <row r="35" ht="15.75" customHeight="1">
      <c r="A35" s="6" t="s">
        <v>82</v>
      </c>
      <c r="B35" s="7" t="s">
        <v>90</v>
      </c>
      <c r="C35" s="8" t="s">
        <v>90</v>
      </c>
      <c r="D35" s="8" t="s">
        <v>91</v>
      </c>
      <c r="E35" s="6" t="s">
        <v>92</v>
      </c>
      <c r="F35" s="6" t="s">
        <v>77</v>
      </c>
      <c r="G35" s="6" t="s">
        <v>93</v>
      </c>
      <c r="H35" s="9"/>
      <c r="I35" s="10" t="s">
        <v>19</v>
      </c>
      <c r="J35" s="10" t="s">
        <v>20</v>
      </c>
      <c r="K35" s="10">
        <v>60.0</v>
      </c>
      <c r="L35" s="10"/>
      <c r="M35" s="12" t="s">
        <v>21</v>
      </c>
    </row>
    <row r="36" ht="15.75" customHeight="1">
      <c r="A36" s="13" t="s">
        <v>73</v>
      </c>
      <c r="B36" s="18" t="s">
        <v>94</v>
      </c>
      <c r="C36" s="9" t="s">
        <v>94</v>
      </c>
      <c r="D36" s="9" t="s">
        <v>95</v>
      </c>
      <c r="E36" s="13" t="s">
        <v>96</v>
      </c>
      <c r="F36" s="13" t="s">
        <v>77</v>
      </c>
      <c r="G36" s="13" t="s">
        <v>93</v>
      </c>
      <c r="H36" s="15">
        <v>50.0</v>
      </c>
      <c r="I36" s="15" t="s">
        <v>29</v>
      </c>
      <c r="J36" s="16" t="s">
        <v>20</v>
      </c>
      <c r="K36" s="16"/>
      <c r="L36" s="16"/>
      <c r="M36" s="19"/>
    </row>
    <row r="37" ht="15.75" customHeight="1">
      <c r="A37" s="13" t="s">
        <v>73</v>
      </c>
      <c r="B37" s="18" t="s">
        <v>94</v>
      </c>
      <c r="C37" s="9" t="s">
        <v>94</v>
      </c>
      <c r="D37" s="9" t="s">
        <v>95</v>
      </c>
      <c r="E37" s="13" t="s">
        <v>96</v>
      </c>
      <c r="F37" s="13" t="s">
        <v>77</v>
      </c>
      <c r="G37" s="13" t="s">
        <v>93</v>
      </c>
      <c r="H37" s="15">
        <v>50.0</v>
      </c>
      <c r="I37" s="15" t="s">
        <v>29</v>
      </c>
      <c r="J37" s="16" t="s">
        <v>22</v>
      </c>
      <c r="K37" s="16"/>
      <c r="L37" s="16"/>
      <c r="M37" s="19"/>
    </row>
    <row r="38" ht="15.75" customHeight="1">
      <c r="A38" s="13" t="s">
        <v>82</v>
      </c>
      <c r="B38" s="18" t="s">
        <v>97</v>
      </c>
      <c r="C38" s="18" t="s">
        <v>97</v>
      </c>
      <c r="D38" s="14" t="s">
        <v>98</v>
      </c>
      <c r="E38" s="13" t="s">
        <v>99</v>
      </c>
      <c r="F38" s="13" t="s">
        <v>100</v>
      </c>
      <c r="G38" s="13" t="s">
        <v>101</v>
      </c>
      <c r="H38" s="15">
        <v>100.0</v>
      </c>
      <c r="I38" s="15" t="s">
        <v>29</v>
      </c>
      <c r="J38" s="16" t="s">
        <v>22</v>
      </c>
      <c r="K38" s="9"/>
      <c r="L38" s="9"/>
      <c r="M38" s="19"/>
    </row>
    <row r="39" ht="15.75" customHeight="1">
      <c r="A39" s="13" t="s">
        <v>82</v>
      </c>
      <c r="B39" s="18" t="s">
        <v>97</v>
      </c>
      <c r="C39" s="18" t="s">
        <v>97</v>
      </c>
      <c r="D39" s="14" t="s">
        <v>98</v>
      </c>
      <c r="E39" s="13" t="s">
        <v>99</v>
      </c>
      <c r="F39" s="13" t="s">
        <v>100</v>
      </c>
      <c r="G39" s="13" t="s">
        <v>101</v>
      </c>
      <c r="H39" s="15">
        <v>270.0</v>
      </c>
      <c r="I39" s="15" t="s">
        <v>29</v>
      </c>
      <c r="J39" s="16" t="s">
        <v>20</v>
      </c>
      <c r="K39" s="9"/>
      <c r="L39" s="9"/>
      <c r="M39" s="19"/>
    </row>
    <row r="40" ht="15.75" customHeight="1">
      <c r="A40" s="13" t="s">
        <v>82</v>
      </c>
      <c r="B40" s="18" t="s">
        <v>102</v>
      </c>
      <c r="C40" s="14" t="s">
        <v>102</v>
      </c>
      <c r="D40" s="14" t="s">
        <v>103</v>
      </c>
      <c r="E40" s="13" t="s">
        <v>104</v>
      </c>
      <c r="F40" s="13" t="s">
        <v>100</v>
      </c>
      <c r="G40" s="13" t="s">
        <v>101</v>
      </c>
      <c r="H40" s="15">
        <f>60-30</f>
        <v>30</v>
      </c>
      <c r="I40" s="15" t="s">
        <v>29</v>
      </c>
      <c r="J40" s="16" t="s">
        <v>22</v>
      </c>
      <c r="K40" s="9"/>
      <c r="L40" s="9"/>
      <c r="M40" s="19"/>
    </row>
    <row r="41" ht="15.75" customHeight="1">
      <c r="A41" s="13" t="s">
        <v>82</v>
      </c>
      <c r="B41" s="18" t="s">
        <v>102</v>
      </c>
      <c r="C41" s="14" t="s">
        <v>102</v>
      </c>
      <c r="D41" s="14" t="s">
        <v>103</v>
      </c>
      <c r="E41" s="13" t="s">
        <v>104</v>
      </c>
      <c r="F41" s="13" t="s">
        <v>100</v>
      </c>
      <c r="G41" s="13" t="s">
        <v>101</v>
      </c>
      <c r="H41" s="15">
        <f>150-20</f>
        <v>130</v>
      </c>
      <c r="I41" s="15" t="s">
        <v>29</v>
      </c>
      <c r="J41" s="16" t="s">
        <v>20</v>
      </c>
      <c r="K41" s="9"/>
      <c r="L41" s="9"/>
      <c r="M41" s="19"/>
    </row>
    <row r="42" ht="15.75" customHeight="1">
      <c r="A42" s="13" t="s">
        <v>82</v>
      </c>
      <c r="B42" s="18" t="s">
        <v>105</v>
      </c>
      <c r="C42" s="14" t="s">
        <v>105</v>
      </c>
      <c r="D42" s="14" t="s">
        <v>106</v>
      </c>
      <c r="E42" s="13" t="s">
        <v>107</v>
      </c>
      <c r="F42" s="13" t="s">
        <v>100</v>
      </c>
      <c r="G42" s="13" t="s">
        <v>101</v>
      </c>
      <c r="H42" s="15">
        <v>30.0</v>
      </c>
      <c r="I42" s="15" t="s">
        <v>19</v>
      </c>
      <c r="J42" s="16" t="s">
        <v>22</v>
      </c>
      <c r="K42" s="16"/>
      <c r="L42" s="16"/>
      <c r="M42" s="19"/>
    </row>
    <row r="43" ht="15.75" customHeight="1">
      <c r="A43" s="13" t="s">
        <v>82</v>
      </c>
      <c r="B43" s="20" t="s">
        <v>105</v>
      </c>
      <c r="C43" s="14" t="s">
        <v>105</v>
      </c>
      <c r="D43" s="14" t="s">
        <v>106</v>
      </c>
      <c r="E43" s="13" t="s">
        <v>107</v>
      </c>
      <c r="F43" s="13" t="s">
        <v>100</v>
      </c>
      <c r="G43" s="13" t="s">
        <v>101</v>
      </c>
      <c r="H43" s="15">
        <f>70</f>
        <v>70</v>
      </c>
      <c r="I43" s="16" t="s">
        <v>19</v>
      </c>
      <c r="J43" s="16" t="s">
        <v>20</v>
      </c>
      <c r="K43" s="16"/>
      <c r="L43" s="16"/>
      <c r="M43" s="19"/>
    </row>
    <row r="44" ht="15.75" customHeight="1">
      <c r="A44" s="6" t="s">
        <v>82</v>
      </c>
      <c r="B44" s="17" t="s">
        <v>108</v>
      </c>
      <c r="C44" s="8" t="s">
        <v>108</v>
      </c>
      <c r="D44" s="8" t="s">
        <v>109</v>
      </c>
      <c r="E44" s="6" t="s">
        <v>110</v>
      </c>
      <c r="F44" s="6" t="s">
        <v>100</v>
      </c>
      <c r="G44" s="6" t="s">
        <v>101</v>
      </c>
      <c r="H44" s="9"/>
      <c r="I44" s="11" t="s">
        <v>19</v>
      </c>
      <c r="J44" s="10" t="s">
        <v>22</v>
      </c>
      <c r="K44" s="10">
        <v>80.0</v>
      </c>
      <c r="L44" s="10"/>
      <c r="M44" s="12" t="s">
        <v>21</v>
      </c>
    </row>
    <row r="45" ht="15.75" customHeight="1">
      <c r="A45" s="6" t="s">
        <v>82</v>
      </c>
      <c r="B45" s="7" t="s">
        <v>108</v>
      </c>
      <c r="C45" s="8" t="s">
        <v>108</v>
      </c>
      <c r="D45" s="8" t="s">
        <v>109</v>
      </c>
      <c r="E45" s="6" t="s">
        <v>110</v>
      </c>
      <c r="F45" s="6" t="s">
        <v>100</v>
      </c>
      <c r="G45" s="6" t="s">
        <v>101</v>
      </c>
      <c r="H45" s="9"/>
      <c r="I45" s="10" t="s">
        <v>19</v>
      </c>
      <c r="J45" s="10" t="s">
        <v>20</v>
      </c>
      <c r="K45" s="10">
        <v>80.0</v>
      </c>
      <c r="L45" s="10"/>
      <c r="M45" s="12" t="s">
        <v>21</v>
      </c>
    </row>
    <row r="46" ht="15.75" customHeight="1">
      <c r="A46" s="6" t="s">
        <v>82</v>
      </c>
      <c r="B46" s="17" t="s">
        <v>111</v>
      </c>
      <c r="C46" s="8" t="s">
        <v>111</v>
      </c>
      <c r="D46" s="8" t="s">
        <v>112</v>
      </c>
      <c r="E46" s="6" t="s">
        <v>113</v>
      </c>
      <c r="F46" s="6" t="s">
        <v>100</v>
      </c>
      <c r="G46" s="6" t="s">
        <v>101</v>
      </c>
      <c r="H46" s="9"/>
      <c r="I46" s="11" t="s">
        <v>19</v>
      </c>
      <c r="J46" s="10" t="s">
        <v>22</v>
      </c>
      <c r="K46" s="10">
        <v>85.0</v>
      </c>
      <c r="L46" s="10"/>
      <c r="M46" s="12" t="s">
        <v>21</v>
      </c>
    </row>
    <row r="47" ht="15.75" customHeight="1">
      <c r="A47" s="6" t="s">
        <v>82</v>
      </c>
      <c r="B47" s="7" t="s">
        <v>111</v>
      </c>
      <c r="C47" s="8" t="s">
        <v>111</v>
      </c>
      <c r="D47" s="8" t="s">
        <v>112</v>
      </c>
      <c r="E47" s="6" t="s">
        <v>113</v>
      </c>
      <c r="F47" s="6" t="s">
        <v>100</v>
      </c>
      <c r="G47" s="6" t="s">
        <v>101</v>
      </c>
      <c r="H47" s="9"/>
      <c r="I47" s="10" t="s">
        <v>19</v>
      </c>
      <c r="J47" s="10" t="s">
        <v>20</v>
      </c>
      <c r="K47" s="10">
        <v>90.0</v>
      </c>
      <c r="L47" s="10"/>
      <c r="M47" s="12" t="s">
        <v>21</v>
      </c>
    </row>
    <row r="48" ht="15.75" customHeight="1">
      <c r="A48" s="13" t="s">
        <v>73</v>
      </c>
      <c r="B48" s="18" t="s">
        <v>114</v>
      </c>
      <c r="C48" s="9" t="s">
        <v>114</v>
      </c>
      <c r="D48" s="14" t="s">
        <v>115</v>
      </c>
      <c r="E48" s="13" t="s">
        <v>116</v>
      </c>
      <c r="F48" s="13" t="s">
        <v>100</v>
      </c>
      <c r="G48" s="13" t="s">
        <v>101</v>
      </c>
      <c r="H48" s="15">
        <v>120.0</v>
      </c>
      <c r="I48" s="15" t="s">
        <v>29</v>
      </c>
      <c r="J48" s="16" t="s">
        <v>20</v>
      </c>
      <c r="K48" s="16"/>
      <c r="L48" s="16"/>
      <c r="M48" s="19"/>
    </row>
    <row r="49" ht="15.75" customHeight="1">
      <c r="A49" s="23" t="s">
        <v>73</v>
      </c>
      <c r="B49" s="24" t="s">
        <v>117</v>
      </c>
      <c r="C49" s="25" t="s">
        <v>117</v>
      </c>
      <c r="D49" s="25" t="s">
        <v>118</v>
      </c>
      <c r="E49" s="13" t="s">
        <v>119</v>
      </c>
      <c r="F49" s="13" t="s">
        <v>100</v>
      </c>
      <c r="G49" s="13" t="s">
        <v>120</v>
      </c>
      <c r="H49" s="15">
        <f>20+20</f>
        <v>40</v>
      </c>
      <c r="I49" s="15" t="s">
        <v>29</v>
      </c>
      <c r="J49" s="16" t="s">
        <v>20</v>
      </c>
      <c r="K49" s="16"/>
      <c r="L49" s="16"/>
      <c r="M49" s="19"/>
    </row>
    <row r="50" ht="15.75" customHeight="1">
      <c r="A50" s="13" t="s">
        <v>23</v>
      </c>
      <c r="B50" s="18" t="s">
        <v>121</v>
      </c>
      <c r="C50" s="14" t="s">
        <v>121</v>
      </c>
      <c r="D50" s="14"/>
      <c r="E50" s="13" t="s">
        <v>122</v>
      </c>
      <c r="F50" s="13" t="s">
        <v>123</v>
      </c>
      <c r="G50" s="13" t="s">
        <v>124</v>
      </c>
      <c r="H50" s="15">
        <v>40.0</v>
      </c>
      <c r="I50" s="15" t="s">
        <v>29</v>
      </c>
      <c r="J50" s="16" t="s">
        <v>20</v>
      </c>
      <c r="K50" s="16"/>
      <c r="L50" s="16"/>
      <c r="M50" s="19"/>
    </row>
    <row r="51" ht="15.75" customHeight="1">
      <c r="A51" s="13" t="s">
        <v>23</v>
      </c>
      <c r="B51" s="18" t="s">
        <v>121</v>
      </c>
      <c r="C51" s="14" t="s">
        <v>121</v>
      </c>
      <c r="D51" s="14"/>
      <c r="E51" s="13" t="s">
        <v>122</v>
      </c>
      <c r="F51" s="13" t="s">
        <v>123</v>
      </c>
      <c r="G51" s="13" t="s">
        <v>124</v>
      </c>
      <c r="H51" s="15">
        <v>40.0</v>
      </c>
      <c r="I51" s="15" t="s">
        <v>29</v>
      </c>
      <c r="J51" s="16" t="s">
        <v>22</v>
      </c>
      <c r="K51" s="16"/>
      <c r="L51" s="16"/>
      <c r="M51" s="19"/>
    </row>
    <row r="52" ht="15.75" customHeight="1">
      <c r="A52" s="13" t="s">
        <v>125</v>
      </c>
      <c r="B52" s="18" t="s">
        <v>126</v>
      </c>
      <c r="C52" s="9" t="s">
        <v>127</v>
      </c>
      <c r="D52" s="14" t="s">
        <v>128</v>
      </c>
      <c r="E52" s="13" t="s">
        <v>129</v>
      </c>
      <c r="F52" s="13" t="s">
        <v>123</v>
      </c>
      <c r="G52" s="13" t="s">
        <v>130</v>
      </c>
      <c r="H52" s="15">
        <f t="shared" ref="H52:H53" si="1">25+20+15</f>
        <v>60</v>
      </c>
      <c r="I52" s="15" t="s">
        <v>29</v>
      </c>
      <c r="J52" s="16" t="s">
        <v>22</v>
      </c>
      <c r="K52" s="16"/>
      <c r="L52" s="16"/>
      <c r="M52" s="21"/>
    </row>
    <row r="53" ht="15.75" customHeight="1">
      <c r="A53" s="13" t="s">
        <v>125</v>
      </c>
      <c r="B53" s="18" t="s">
        <v>126</v>
      </c>
      <c r="C53" s="9" t="s">
        <v>127</v>
      </c>
      <c r="D53" s="14" t="s">
        <v>128</v>
      </c>
      <c r="E53" s="13" t="s">
        <v>129</v>
      </c>
      <c r="F53" s="13" t="s">
        <v>123</v>
      </c>
      <c r="G53" s="13" t="s">
        <v>130</v>
      </c>
      <c r="H53" s="15">
        <f t="shared" si="1"/>
        <v>60</v>
      </c>
      <c r="I53" s="15" t="s">
        <v>29</v>
      </c>
      <c r="J53" s="16" t="s">
        <v>20</v>
      </c>
      <c r="K53" s="16"/>
      <c r="L53" s="16"/>
      <c r="M53" s="19"/>
    </row>
    <row r="54" ht="15.75" customHeight="1">
      <c r="A54" s="6" t="s">
        <v>23</v>
      </c>
      <c r="B54" s="7" t="s">
        <v>131</v>
      </c>
      <c r="C54" s="8" t="s">
        <v>131</v>
      </c>
      <c r="D54" s="8" t="s">
        <v>132</v>
      </c>
      <c r="E54" s="6" t="s">
        <v>133</v>
      </c>
      <c r="F54" s="6" t="s">
        <v>123</v>
      </c>
      <c r="G54" s="6" t="s">
        <v>130</v>
      </c>
      <c r="H54" s="9"/>
      <c r="I54" s="10" t="s">
        <v>19</v>
      </c>
      <c r="J54" s="10" t="s">
        <v>20</v>
      </c>
      <c r="K54" s="10">
        <v>90.0</v>
      </c>
      <c r="L54" s="10"/>
      <c r="M54" s="12" t="s">
        <v>21</v>
      </c>
    </row>
    <row r="55" ht="15.75" customHeight="1">
      <c r="A55" s="13" t="s">
        <v>23</v>
      </c>
      <c r="B55" s="18" t="s">
        <v>134</v>
      </c>
      <c r="C55" s="14" t="s">
        <v>134</v>
      </c>
      <c r="D55" s="14" t="s">
        <v>135</v>
      </c>
      <c r="E55" s="13"/>
      <c r="F55" s="13" t="s">
        <v>123</v>
      </c>
      <c r="G55" s="13" t="s">
        <v>130</v>
      </c>
      <c r="H55" s="15">
        <v>60.0</v>
      </c>
      <c r="I55" s="15" t="s">
        <v>29</v>
      </c>
      <c r="J55" s="16" t="s">
        <v>20</v>
      </c>
      <c r="K55" s="16"/>
      <c r="L55" s="16"/>
      <c r="M55" s="19"/>
    </row>
    <row r="56" ht="15.75" customHeight="1">
      <c r="A56" s="13" t="s">
        <v>23</v>
      </c>
      <c r="B56" s="18" t="s">
        <v>136</v>
      </c>
      <c r="C56" s="14" t="s">
        <v>136</v>
      </c>
      <c r="D56" s="14" t="s">
        <v>137</v>
      </c>
      <c r="E56" s="13" t="s">
        <v>138</v>
      </c>
      <c r="F56" s="13" t="s">
        <v>123</v>
      </c>
      <c r="G56" s="13" t="s">
        <v>130</v>
      </c>
      <c r="H56" s="15">
        <v>30.0</v>
      </c>
      <c r="I56" s="15" t="s">
        <v>19</v>
      </c>
      <c r="J56" s="16" t="s">
        <v>22</v>
      </c>
      <c r="K56" s="9"/>
      <c r="L56" s="9"/>
      <c r="M56" s="19"/>
    </row>
    <row r="57" ht="15.75" customHeight="1">
      <c r="A57" s="13" t="s">
        <v>23</v>
      </c>
      <c r="B57" s="20" t="s">
        <v>136</v>
      </c>
      <c r="C57" s="14" t="s">
        <v>136</v>
      </c>
      <c r="D57" s="14" t="s">
        <v>137</v>
      </c>
      <c r="E57" s="13" t="s">
        <v>138</v>
      </c>
      <c r="F57" s="13" t="s">
        <v>123</v>
      </c>
      <c r="G57" s="13" t="s">
        <v>130</v>
      </c>
      <c r="H57" s="15">
        <v>75.0</v>
      </c>
      <c r="I57" s="16" t="s">
        <v>19</v>
      </c>
      <c r="J57" s="16" t="s">
        <v>20</v>
      </c>
      <c r="K57" s="9"/>
      <c r="L57" s="9"/>
      <c r="M57" s="19"/>
    </row>
    <row r="58" ht="15.75" customHeight="1">
      <c r="A58" s="13" t="s">
        <v>23</v>
      </c>
      <c r="B58" s="18" t="s">
        <v>139</v>
      </c>
      <c r="C58" s="14" t="s">
        <v>139</v>
      </c>
      <c r="D58" s="14" t="s">
        <v>140</v>
      </c>
      <c r="E58" s="13" t="s">
        <v>141</v>
      </c>
      <c r="F58" s="13" t="s">
        <v>123</v>
      </c>
      <c r="G58" s="13" t="s">
        <v>130</v>
      </c>
      <c r="H58" s="15">
        <v>40.0</v>
      </c>
      <c r="I58" s="15" t="s">
        <v>29</v>
      </c>
      <c r="J58" s="16" t="s">
        <v>20</v>
      </c>
      <c r="K58" s="16"/>
      <c r="L58" s="16"/>
      <c r="M58" s="19"/>
    </row>
    <row r="59" ht="15.75" customHeight="1">
      <c r="A59" s="6" t="s">
        <v>23</v>
      </c>
      <c r="B59" s="7" t="s">
        <v>142</v>
      </c>
      <c r="C59" s="8" t="s">
        <v>142</v>
      </c>
      <c r="D59" s="8" t="s">
        <v>143</v>
      </c>
      <c r="E59" s="6" t="s">
        <v>144</v>
      </c>
      <c r="F59" s="6" t="s">
        <v>145</v>
      </c>
      <c r="G59" s="6" t="s">
        <v>146</v>
      </c>
      <c r="H59" s="9"/>
      <c r="I59" s="10" t="s">
        <v>19</v>
      </c>
      <c r="J59" s="10" t="s">
        <v>20</v>
      </c>
      <c r="K59" s="10">
        <v>65.0</v>
      </c>
      <c r="L59" s="10"/>
      <c r="M59" s="12" t="s">
        <v>21</v>
      </c>
    </row>
    <row r="60" ht="15.75" customHeight="1">
      <c r="A60" s="6" t="s">
        <v>23</v>
      </c>
      <c r="B60" s="7" t="s">
        <v>147</v>
      </c>
      <c r="C60" s="8" t="s">
        <v>147</v>
      </c>
      <c r="D60" s="8" t="s">
        <v>148</v>
      </c>
      <c r="E60" s="6" t="s">
        <v>149</v>
      </c>
      <c r="F60" s="6" t="s">
        <v>145</v>
      </c>
      <c r="G60" s="6" t="s">
        <v>146</v>
      </c>
      <c r="H60" s="9"/>
      <c r="I60" s="10" t="s">
        <v>19</v>
      </c>
      <c r="J60" s="10" t="s">
        <v>20</v>
      </c>
      <c r="K60" s="10">
        <v>40.0</v>
      </c>
      <c r="L60" s="10"/>
      <c r="M60" s="12" t="s">
        <v>21</v>
      </c>
    </row>
    <row r="61" ht="15.75" customHeight="1">
      <c r="A61" s="6" t="s">
        <v>23</v>
      </c>
      <c r="B61" s="7" t="s">
        <v>150</v>
      </c>
      <c r="C61" s="8" t="s">
        <v>150</v>
      </c>
      <c r="D61" s="8" t="s">
        <v>151</v>
      </c>
      <c r="E61" s="6" t="s">
        <v>152</v>
      </c>
      <c r="F61" s="6" t="s">
        <v>145</v>
      </c>
      <c r="G61" s="6" t="s">
        <v>146</v>
      </c>
      <c r="H61" s="9"/>
      <c r="I61" s="10" t="s">
        <v>19</v>
      </c>
      <c r="J61" s="10" t="s">
        <v>20</v>
      </c>
      <c r="K61" s="10">
        <v>60.0</v>
      </c>
      <c r="L61" s="10"/>
      <c r="M61" s="12" t="s">
        <v>21</v>
      </c>
    </row>
    <row r="62" ht="15.75" customHeight="1">
      <c r="A62" s="13" t="s">
        <v>23</v>
      </c>
      <c r="B62" s="20" t="s">
        <v>153</v>
      </c>
      <c r="C62" s="14" t="s">
        <v>153</v>
      </c>
      <c r="D62" s="14" t="s">
        <v>154</v>
      </c>
      <c r="E62" s="13" t="s">
        <v>155</v>
      </c>
      <c r="F62" s="13" t="s">
        <v>145</v>
      </c>
      <c r="G62" s="13" t="s">
        <v>146</v>
      </c>
      <c r="H62" s="16">
        <v>100.0</v>
      </c>
      <c r="I62" s="16" t="s">
        <v>19</v>
      </c>
      <c r="J62" s="16" t="s">
        <v>20</v>
      </c>
      <c r="K62" s="16"/>
      <c r="L62" s="16"/>
      <c r="M62" s="9"/>
    </row>
    <row r="63" ht="15.75" customHeight="1">
      <c r="A63" s="13" t="s">
        <v>23</v>
      </c>
      <c r="B63" s="18" t="s">
        <v>156</v>
      </c>
      <c r="C63" s="14" t="s">
        <v>156</v>
      </c>
      <c r="D63" s="14" t="s">
        <v>157</v>
      </c>
      <c r="E63" s="13" t="s">
        <v>158</v>
      </c>
      <c r="F63" s="13" t="s">
        <v>145</v>
      </c>
      <c r="G63" s="13" t="s">
        <v>146</v>
      </c>
      <c r="H63" s="15">
        <v>30.0</v>
      </c>
      <c r="I63" s="15" t="s">
        <v>19</v>
      </c>
      <c r="J63" s="16" t="s">
        <v>22</v>
      </c>
      <c r="K63" s="16"/>
      <c r="L63" s="16"/>
      <c r="M63" s="21"/>
    </row>
    <row r="64" ht="15.75" customHeight="1">
      <c r="A64" s="13" t="s">
        <v>23</v>
      </c>
      <c r="B64" s="20" t="s">
        <v>156</v>
      </c>
      <c r="C64" s="14" t="s">
        <v>156</v>
      </c>
      <c r="D64" s="14" t="s">
        <v>157</v>
      </c>
      <c r="E64" s="13" t="s">
        <v>159</v>
      </c>
      <c r="F64" s="13" t="s">
        <v>145</v>
      </c>
      <c r="G64" s="13" t="s">
        <v>146</v>
      </c>
      <c r="H64" s="15">
        <v>60.0</v>
      </c>
      <c r="I64" s="16" t="s">
        <v>19</v>
      </c>
      <c r="J64" s="16" t="s">
        <v>20</v>
      </c>
      <c r="K64" s="16"/>
      <c r="L64" s="16"/>
      <c r="M64" s="19"/>
    </row>
    <row r="65" ht="15.75" customHeight="1">
      <c r="A65" s="6" t="s">
        <v>23</v>
      </c>
      <c r="B65" s="7" t="s">
        <v>160</v>
      </c>
      <c r="C65" s="8" t="s">
        <v>160</v>
      </c>
      <c r="D65" s="8" t="s">
        <v>161</v>
      </c>
      <c r="E65" s="6" t="s">
        <v>162</v>
      </c>
      <c r="F65" s="6" t="s">
        <v>145</v>
      </c>
      <c r="G65" s="6" t="s">
        <v>146</v>
      </c>
      <c r="H65" s="9"/>
      <c r="I65" s="10" t="s">
        <v>19</v>
      </c>
      <c r="J65" s="10" t="s">
        <v>20</v>
      </c>
      <c r="K65" s="10">
        <v>50.0</v>
      </c>
      <c r="L65" s="10"/>
      <c r="M65" s="12" t="s">
        <v>21</v>
      </c>
    </row>
    <row r="66" ht="15.75" customHeight="1">
      <c r="A66" s="13" t="s">
        <v>23</v>
      </c>
      <c r="B66" s="18" t="s">
        <v>163</v>
      </c>
      <c r="C66" s="14" t="s">
        <v>163</v>
      </c>
      <c r="D66" s="14" t="s">
        <v>164</v>
      </c>
      <c r="E66" s="13" t="s">
        <v>165</v>
      </c>
      <c r="F66" s="13" t="s">
        <v>145</v>
      </c>
      <c r="G66" s="13" t="s">
        <v>146</v>
      </c>
      <c r="H66" s="15">
        <v>190.0</v>
      </c>
      <c r="I66" s="15" t="s">
        <v>29</v>
      </c>
      <c r="J66" s="16" t="s">
        <v>20</v>
      </c>
      <c r="K66" s="16"/>
      <c r="L66" s="16"/>
      <c r="M66" s="19"/>
    </row>
    <row r="67" ht="15.75" customHeight="1">
      <c r="A67" s="13" t="s">
        <v>23</v>
      </c>
      <c r="B67" s="18" t="s">
        <v>166</v>
      </c>
      <c r="C67" s="14" t="s">
        <v>166</v>
      </c>
      <c r="D67" s="14" t="s">
        <v>167</v>
      </c>
      <c r="E67" s="13" t="s">
        <v>168</v>
      </c>
      <c r="F67" s="13" t="s">
        <v>145</v>
      </c>
      <c r="G67" s="13" t="s">
        <v>146</v>
      </c>
      <c r="H67" s="15">
        <v>20.0</v>
      </c>
      <c r="I67" s="15" t="s">
        <v>29</v>
      </c>
      <c r="J67" s="16" t="s">
        <v>20</v>
      </c>
      <c r="K67" s="16"/>
      <c r="L67" s="16"/>
      <c r="M67" s="19"/>
    </row>
    <row r="68" ht="15.75" customHeight="1">
      <c r="A68" s="13" t="s">
        <v>23</v>
      </c>
      <c r="B68" s="20" t="s">
        <v>169</v>
      </c>
      <c r="C68" s="14" t="s">
        <v>169</v>
      </c>
      <c r="D68" s="14" t="s">
        <v>170</v>
      </c>
      <c r="E68" s="13" t="s">
        <v>171</v>
      </c>
      <c r="F68" s="13" t="s">
        <v>145</v>
      </c>
      <c r="G68" s="13" t="s">
        <v>146</v>
      </c>
      <c r="H68" s="15">
        <v>70.0</v>
      </c>
      <c r="I68" s="16" t="s">
        <v>19</v>
      </c>
      <c r="J68" s="16" t="s">
        <v>20</v>
      </c>
      <c r="K68" s="16"/>
      <c r="L68" s="16"/>
      <c r="M68" s="21"/>
    </row>
    <row r="69" ht="15.75" customHeight="1">
      <c r="A69" s="6" t="s">
        <v>82</v>
      </c>
      <c r="B69" s="17" t="s">
        <v>172</v>
      </c>
      <c r="C69" s="8" t="s">
        <v>172</v>
      </c>
      <c r="D69" s="8" t="s">
        <v>173</v>
      </c>
      <c r="E69" s="6" t="s">
        <v>174</v>
      </c>
      <c r="F69" s="6" t="s">
        <v>175</v>
      </c>
      <c r="G69" s="6" t="s">
        <v>176</v>
      </c>
      <c r="H69" s="9"/>
      <c r="I69" s="11" t="s">
        <v>19</v>
      </c>
      <c r="J69" s="10" t="s">
        <v>22</v>
      </c>
      <c r="K69" s="10">
        <v>51.0</v>
      </c>
      <c r="L69" s="10"/>
      <c r="M69" s="12" t="s">
        <v>21</v>
      </c>
    </row>
    <row r="70" ht="15.75" customHeight="1">
      <c r="A70" s="6" t="s">
        <v>82</v>
      </c>
      <c r="B70" s="7" t="s">
        <v>172</v>
      </c>
      <c r="C70" s="8" t="s">
        <v>172</v>
      </c>
      <c r="D70" s="8" t="s">
        <v>173</v>
      </c>
      <c r="E70" s="6" t="s">
        <v>174</v>
      </c>
      <c r="F70" s="6" t="s">
        <v>175</v>
      </c>
      <c r="G70" s="6" t="s">
        <v>176</v>
      </c>
      <c r="H70" s="9"/>
      <c r="I70" s="10" t="s">
        <v>19</v>
      </c>
      <c r="J70" s="10" t="s">
        <v>20</v>
      </c>
      <c r="K70" s="10">
        <v>60.0</v>
      </c>
      <c r="L70" s="10"/>
      <c r="M70" s="12" t="s">
        <v>21</v>
      </c>
    </row>
    <row r="71" ht="15.75" customHeight="1">
      <c r="A71" s="13" t="s">
        <v>82</v>
      </c>
      <c r="B71" s="18" t="s">
        <v>177</v>
      </c>
      <c r="C71" s="14" t="s">
        <v>177</v>
      </c>
      <c r="D71" s="14" t="s">
        <v>178</v>
      </c>
      <c r="E71" s="13" t="s">
        <v>179</v>
      </c>
      <c r="F71" s="13" t="s">
        <v>175</v>
      </c>
      <c r="G71" s="13" t="s">
        <v>176</v>
      </c>
      <c r="H71" s="15">
        <v>40.0</v>
      </c>
      <c r="I71" s="16" t="s">
        <v>29</v>
      </c>
      <c r="J71" s="16" t="s">
        <v>20</v>
      </c>
      <c r="K71" s="9"/>
      <c r="L71" s="9"/>
      <c r="M71" s="19"/>
    </row>
    <row r="72" ht="15.75" customHeight="1">
      <c r="A72" s="13" t="s">
        <v>82</v>
      </c>
      <c r="B72" s="18" t="s">
        <v>177</v>
      </c>
      <c r="C72" s="14" t="s">
        <v>177</v>
      </c>
      <c r="D72" s="14" t="s">
        <v>178</v>
      </c>
      <c r="E72" s="13" t="s">
        <v>179</v>
      </c>
      <c r="F72" s="13" t="s">
        <v>175</v>
      </c>
      <c r="G72" s="13" t="s">
        <v>176</v>
      </c>
      <c r="H72" s="15">
        <v>40.0</v>
      </c>
      <c r="I72" s="16" t="s">
        <v>29</v>
      </c>
      <c r="J72" s="16" t="s">
        <v>22</v>
      </c>
      <c r="K72" s="9"/>
      <c r="L72" s="9"/>
      <c r="M72" s="19"/>
    </row>
    <row r="73" ht="15.75" customHeight="1">
      <c r="A73" s="13" t="s">
        <v>82</v>
      </c>
      <c r="B73" s="18" t="s">
        <v>180</v>
      </c>
      <c r="C73" s="14" t="s">
        <v>180</v>
      </c>
      <c r="D73" s="14" t="s">
        <v>181</v>
      </c>
      <c r="E73" s="13" t="s">
        <v>182</v>
      </c>
      <c r="F73" s="13" t="s">
        <v>175</v>
      </c>
      <c r="G73" s="13" t="s">
        <v>183</v>
      </c>
      <c r="H73" s="15">
        <v>80.0</v>
      </c>
      <c r="I73" s="15" t="s">
        <v>29</v>
      </c>
      <c r="J73" s="16" t="s">
        <v>22</v>
      </c>
      <c r="K73" s="9"/>
      <c r="L73" s="9"/>
      <c r="M73" s="19"/>
    </row>
    <row r="74" ht="15.75" customHeight="1">
      <c r="A74" s="13" t="s">
        <v>184</v>
      </c>
      <c r="B74" s="18" t="s">
        <v>185</v>
      </c>
      <c r="C74" s="14" t="s">
        <v>185</v>
      </c>
      <c r="D74" s="14" t="s">
        <v>186</v>
      </c>
      <c r="E74" s="13" t="s">
        <v>187</v>
      </c>
      <c r="F74" s="13" t="s">
        <v>175</v>
      </c>
      <c r="G74" s="13" t="s">
        <v>188</v>
      </c>
      <c r="H74" s="15">
        <v>32.0</v>
      </c>
      <c r="I74" s="15" t="s">
        <v>29</v>
      </c>
      <c r="J74" s="16" t="s">
        <v>20</v>
      </c>
      <c r="K74" s="16"/>
      <c r="L74" s="16"/>
      <c r="M74" s="21"/>
    </row>
    <row r="75" ht="15.75" customHeight="1">
      <c r="A75" s="13" t="s">
        <v>184</v>
      </c>
      <c r="B75" s="18" t="s">
        <v>189</v>
      </c>
      <c r="C75" s="9" t="s">
        <v>189</v>
      </c>
      <c r="D75" s="14" t="s">
        <v>190</v>
      </c>
      <c r="E75" s="13" t="s">
        <v>191</v>
      </c>
      <c r="F75" s="13" t="s">
        <v>175</v>
      </c>
      <c r="G75" s="13" t="s">
        <v>188</v>
      </c>
      <c r="H75" s="15">
        <f t="shared" ref="H75:H76" si="2">25+20+25</f>
        <v>70</v>
      </c>
      <c r="I75" s="15" t="s">
        <v>29</v>
      </c>
      <c r="J75" s="16" t="s">
        <v>20</v>
      </c>
      <c r="K75" s="16"/>
      <c r="L75" s="16"/>
      <c r="M75" s="19"/>
    </row>
    <row r="76" ht="15.75" customHeight="1">
      <c r="A76" s="13" t="s">
        <v>184</v>
      </c>
      <c r="B76" s="18" t="s">
        <v>189</v>
      </c>
      <c r="C76" s="9" t="s">
        <v>189</v>
      </c>
      <c r="D76" s="14" t="s">
        <v>190</v>
      </c>
      <c r="E76" s="13" t="s">
        <v>191</v>
      </c>
      <c r="F76" s="13" t="s">
        <v>175</v>
      </c>
      <c r="G76" s="13" t="s">
        <v>188</v>
      </c>
      <c r="H76" s="15">
        <f t="shared" si="2"/>
        <v>70</v>
      </c>
      <c r="I76" s="15" t="s">
        <v>29</v>
      </c>
      <c r="J76" s="16" t="s">
        <v>22</v>
      </c>
      <c r="K76" s="16"/>
      <c r="L76" s="16"/>
      <c r="M76" s="19"/>
    </row>
    <row r="77" ht="15.75" customHeight="1">
      <c r="A77" s="13" t="s">
        <v>23</v>
      </c>
      <c r="B77" s="18" t="s">
        <v>192</v>
      </c>
      <c r="C77" s="14" t="s">
        <v>193</v>
      </c>
      <c r="D77" s="14" t="s">
        <v>194</v>
      </c>
      <c r="E77" s="13" t="s">
        <v>195</v>
      </c>
      <c r="F77" s="13" t="s">
        <v>196</v>
      </c>
      <c r="G77" s="13" t="s">
        <v>197</v>
      </c>
      <c r="H77" s="15">
        <v>80.0</v>
      </c>
      <c r="I77" s="15" t="s">
        <v>19</v>
      </c>
      <c r="J77" s="16" t="s">
        <v>22</v>
      </c>
      <c r="K77" s="16"/>
      <c r="L77" s="16"/>
      <c r="M77" s="19"/>
    </row>
    <row r="78" ht="15.75" customHeight="1">
      <c r="A78" s="13" t="s">
        <v>23</v>
      </c>
      <c r="B78" s="20" t="s">
        <v>192</v>
      </c>
      <c r="C78" s="14" t="s">
        <v>193</v>
      </c>
      <c r="D78" s="14" t="s">
        <v>194</v>
      </c>
      <c r="E78" s="13" t="s">
        <v>195</v>
      </c>
      <c r="F78" s="13" t="s">
        <v>196</v>
      </c>
      <c r="G78" s="13" t="s">
        <v>197</v>
      </c>
      <c r="H78" s="15">
        <v>90.0</v>
      </c>
      <c r="I78" s="16" t="s">
        <v>19</v>
      </c>
      <c r="J78" s="16" t="s">
        <v>20</v>
      </c>
      <c r="K78" s="16"/>
      <c r="L78" s="16"/>
      <c r="M78" s="19"/>
    </row>
    <row r="79" ht="15.75" customHeight="1">
      <c r="A79" s="6" t="s">
        <v>23</v>
      </c>
      <c r="B79" s="7" t="s">
        <v>192</v>
      </c>
      <c r="C79" s="8" t="s">
        <v>198</v>
      </c>
      <c r="D79" s="8" t="s">
        <v>199</v>
      </c>
      <c r="E79" s="6" t="s">
        <v>200</v>
      </c>
      <c r="F79" s="6" t="s">
        <v>196</v>
      </c>
      <c r="G79" s="6" t="s">
        <v>197</v>
      </c>
      <c r="H79" s="9"/>
      <c r="I79" s="10" t="s">
        <v>19</v>
      </c>
      <c r="J79" s="10" t="s">
        <v>20</v>
      </c>
      <c r="K79" s="10">
        <v>80.0</v>
      </c>
      <c r="L79" s="10"/>
      <c r="M79" s="12" t="s">
        <v>21</v>
      </c>
    </row>
    <row r="80" ht="15.75" customHeight="1">
      <c r="A80" s="6" t="s">
        <v>23</v>
      </c>
      <c r="B80" s="7" t="s">
        <v>192</v>
      </c>
      <c r="C80" s="8" t="s">
        <v>201</v>
      </c>
      <c r="D80" s="8" t="s">
        <v>202</v>
      </c>
      <c r="E80" s="6" t="s">
        <v>203</v>
      </c>
      <c r="F80" s="6" t="s">
        <v>196</v>
      </c>
      <c r="G80" s="6" t="s">
        <v>197</v>
      </c>
      <c r="H80" s="9"/>
      <c r="I80" s="10" t="s">
        <v>19</v>
      </c>
      <c r="J80" s="10" t="s">
        <v>20</v>
      </c>
      <c r="K80" s="10">
        <v>70.0</v>
      </c>
      <c r="L80" s="10"/>
      <c r="M80" s="12" t="s">
        <v>21</v>
      </c>
    </row>
    <row r="81" ht="15.75" customHeight="1">
      <c r="A81" s="6" t="s">
        <v>23</v>
      </c>
      <c r="B81" s="7" t="s">
        <v>192</v>
      </c>
      <c r="C81" s="8" t="s">
        <v>192</v>
      </c>
      <c r="D81" s="8" t="s">
        <v>204</v>
      </c>
      <c r="E81" s="6" t="s">
        <v>205</v>
      </c>
      <c r="F81" s="6" t="s">
        <v>196</v>
      </c>
      <c r="G81" s="6" t="s">
        <v>197</v>
      </c>
      <c r="H81" s="9"/>
      <c r="I81" s="10" t="s">
        <v>19</v>
      </c>
      <c r="J81" s="10" t="s">
        <v>20</v>
      </c>
      <c r="K81" s="11">
        <v>40.0</v>
      </c>
      <c r="L81" s="10"/>
      <c r="M81" s="12" t="s">
        <v>21</v>
      </c>
    </row>
    <row r="82" ht="15.75" customHeight="1">
      <c r="A82" s="13" t="s">
        <v>23</v>
      </c>
      <c r="B82" s="18" t="s">
        <v>192</v>
      </c>
      <c r="C82" s="14" t="s">
        <v>206</v>
      </c>
      <c r="D82" s="14" t="s">
        <v>207</v>
      </c>
      <c r="E82" s="13" t="s">
        <v>208</v>
      </c>
      <c r="F82" s="13" t="s">
        <v>196</v>
      </c>
      <c r="G82" s="13" t="s">
        <v>197</v>
      </c>
      <c r="H82" s="15">
        <v>45.0</v>
      </c>
      <c r="I82" s="13" t="s">
        <v>209</v>
      </c>
      <c r="J82" s="13" t="s">
        <v>22</v>
      </c>
      <c r="K82" s="15"/>
      <c r="L82" s="15"/>
      <c r="M82" s="19"/>
    </row>
    <row r="83" ht="15.75" customHeight="1">
      <c r="A83" s="13" t="s">
        <v>23</v>
      </c>
      <c r="B83" s="20" t="s">
        <v>192</v>
      </c>
      <c r="C83" s="14" t="s">
        <v>206</v>
      </c>
      <c r="D83" s="14" t="s">
        <v>207</v>
      </c>
      <c r="E83" s="13" t="s">
        <v>208</v>
      </c>
      <c r="F83" s="13" t="s">
        <v>196</v>
      </c>
      <c r="G83" s="13" t="s">
        <v>197</v>
      </c>
      <c r="H83" s="15">
        <v>50.0</v>
      </c>
      <c r="I83" s="13" t="s">
        <v>209</v>
      </c>
      <c r="J83" s="13" t="s">
        <v>20</v>
      </c>
      <c r="K83" s="15"/>
      <c r="L83" s="15"/>
      <c r="M83" s="21"/>
    </row>
    <row r="84" ht="15.75" customHeight="1">
      <c r="A84" s="13" t="s">
        <v>23</v>
      </c>
      <c r="B84" s="18" t="s">
        <v>192</v>
      </c>
      <c r="C84" s="14" t="s">
        <v>210</v>
      </c>
      <c r="D84" s="14" t="s">
        <v>211</v>
      </c>
      <c r="E84" s="13" t="s">
        <v>212</v>
      </c>
      <c r="F84" s="13" t="s">
        <v>196</v>
      </c>
      <c r="G84" s="13" t="s">
        <v>197</v>
      </c>
      <c r="H84" s="15">
        <v>20.0</v>
      </c>
      <c r="I84" s="15" t="s">
        <v>19</v>
      </c>
      <c r="J84" s="16" t="s">
        <v>22</v>
      </c>
      <c r="K84" s="9"/>
      <c r="L84" s="9"/>
      <c r="M84" s="19"/>
    </row>
    <row r="85" ht="15.75" customHeight="1">
      <c r="A85" s="13" t="s">
        <v>23</v>
      </c>
      <c r="B85" s="20" t="s">
        <v>192</v>
      </c>
      <c r="C85" s="14" t="s">
        <v>210</v>
      </c>
      <c r="D85" s="14" t="s">
        <v>211</v>
      </c>
      <c r="E85" s="13" t="s">
        <v>212</v>
      </c>
      <c r="F85" s="13" t="s">
        <v>196</v>
      </c>
      <c r="G85" s="13" t="s">
        <v>197</v>
      </c>
      <c r="H85" s="15">
        <v>30.0</v>
      </c>
      <c r="I85" s="16" t="s">
        <v>19</v>
      </c>
      <c r="J85" s="16" t="s">
        <v>20</v>
      </c>
      <c r="K85" s="9"/>
      <c r="L85" s="9"/>
      <c r="M85" s="19"/>
    </row>
    <row r="86" ht="15.75" customHeight="1">
      <c r="A86" s="6" t="s">
        <v>23</v>
      </c>
      <c r="B86" s="7" t="s">
        <v>192</v>
      </c>
      <c r="C86" s="8" t="s">
        <v>213</v>
      </c>
      <c r="D86" s="8" t="s">
        <v>214</v>
      </c>
      <c r="E86" s="6" t="s">
        <v>215</v>
      </c>
      <c r="F86" s="6" t="s">
        <v>196</v>
      </c>
      <c r="G86" s="6" t="s">
        <v>197</v>
      </c>
      <c r="H86" s="9"/>
      <c r="I86" s="10" t="s">
        <v>19</v>
      </c>
      <c r="J86" s="10" t="s">
        <v>20</v>
      </c>
      <c r="K86" s="11">
        <v>90.0</v>
      </c>
      <c r="L86" s="10"/>
      <c r="M86" s="12" t="s">
        <v>21</v>
      </c>
    </row>
    <row r="87" ht="15.75" customHeight="1">
      <c r="A87" s="6" t="s">
        <v>23</v>
      </c>
      <c r="B87" s="7" t="s">
        <v>192</v>
      </c>
      <c r="C87" s="8" t="s">
        <v>216</v>
      </c>
      <c r="D87" s="8" t="s">
        <v>217</v>
      </c>
      <c r="E87" s="6" t="s">
        <v>218</v>
      </c>
      <c r="F87" s="6" t="s">
        <v>196</v>
      </c>
      <c r="G87" s="6" t="s">
        <v>197</v>
      </c>
      <c r="H87" s="9"/>
      <c r="I87" s="10" t="s">
        <v>19</v>
      </c>
      <c r="J87" s="10" t="s">
        <v>20</v>
      </c>
      <c r="K87" s="11">
        <v>100.0</v>
      </c>
      <c r="L87" s="10"/>
      <c r="M87" s="12" t="s">
        <v>21</v>
      </c>
    </row>
    <row r="88" ht="15.75" customHeight="1">
      <c r="A88" s="23" t="s">
        <v>23</v>
      </c>
      <c r="B88" s="24" t="s">
        <v>219</v>
      </c>
      <c r="C88" s="25" t="s">
        <v>220</v>
      </c>
      <c r="D88" s="25" t="s">
        <v>221</v>
      </c>
      <c r="E88" s="13" t="s">
        <v>222</v>
      </c>
      <c r="F88" s="13" t="s">
        <v>196</v>
      </c>
      <c r="G88" s="13" t="s">
        <v>197</v>
      </c>
      <c r="H88" s="15">
        <v>100.0</v>
      </c>
      <c r="I88" s="15" t="s">
        <v>29</v>
      </c>
      <c r="J88" s="16" t="s">
        <v>22</v>
      </c>
      <c r="K88" s="16"/>
      <c r="L88" s="16"/>
      <c r="M88" s="21"/>
    </row>
    <row r="89" ht="15.75" customHeight="1">
      <c r="A89" s="23" t="s">
        <v>23</v>
      </c>
      <c r="B89" s="24" t="s">
        <v>219</v>
      </c>
      <c r="C89" s="25" t="s">
        <v>220</v>
      </c>
      <c r="D89" s="25" t="s">
        <v>221</v>
      </c>
      <c r="E89" s="13" t="s">
        <v>222</v>
      </c>
      <c r="F89" s="13" t="s">
        <v>196</v>
      </c>
      <c r="G89" s="13" t="s">
        <v>197</v>
      </c>
      <c r="H89" s="15">
        <v>130.0</v>
      </c>
      <c r="I89" s="15" t="s">
        <v>29</v>
      </c>
      <c r="J89" s="16" t="s">
        <v>20</v>
      </c>
      <c r="K89" s="9"/>
      <c r="L89" s="9"/>
      <c r="M89" s="21"/>
    </row>
    <row r="90" ht="15.75" customHeight="1">
      <c r="A90" s="23" t="s">
        <v>23</v>
      </c>
      <c r="B90" s="24" t="s">
        <v>219</v>
      </c>
      <c r="C90" s="25" t="s">
        <v>223</v>
      </c>
      <c r="D90" s="25" t="s">
        <v>224</v>
      </c>
      <c r="E90" s="13" t="s">
        <v>225</v>
      </c>
      <c r="F90" s="13" t="s">
        <v>196</v>
      </c>
      <c r="G90" s="13" t="s">
        <v>197</v>
      </c>
      <c r="H90" s="15">
        <v>75.0</v>
      </c>
      <c r="I90" s="15" t="s">
        <v>29</v>
      </c>
      <c r="J90" s="16" t="s">
        <v>22</v>
      </c>
      <c r="K90" s="16"/>
      <c r="L90" s="16"/>
      <c r="M90" s="21"/>
    </row>
    <row r="91" ht="15.75" customHeight="1">
      <c r="A91" s="23" t="s">
        <v>23</v>
      </c>
      <c r="B91" s="24" t="s">
        <v>219</v>
      </c>
      <c r="C91" s="25" t="s">
        <v>226</v>
      </c>
      <c r="D91" s="25" t="s">
        <v>227</v>
      </c>
      <c r="E91" s="13"/>
      <c r="F91" s="13" t="s">
        <v>196</v>
      </c>
      <c r="G91" s="13" t="s">
        <v>197</v>
      </c>
      <c r="H91" s="15">
        <v>255.0</v>
      </c>
      <c r="I91" s="15" t="s">
        <v>29</v>
      </c>
      <c r="J91" s="16" t="s">
        <v>20</v>
      </c>
      <c r="K91" s="16"/>
      <c r="L91" s="16"/>
      <c r="M91" s="19"/>
    </row>
    <row r="92" ht="15.75" customHeight="1">
      <c r="A92" s="23" t="s">
        <v>23</v>
      </c>
      <c r="B92" s="24" t="s">
        <v>219</v>
      </c>
      <c r="C92" s="25" t="s">
        <v>228</v>
      </c>
      <c r="D92" s="25" t="s">
        <v>229</v>
      </c>
      <c r="E92" s="13"/>
      <c r="F92" s="13" t="s">
        <v>196</v>
      </c>
      <c r="G92" s="13" t="s">
        <v>197</v>
      </c>
      <c r="H92" s="16">
        <v>880.0</v>
      </c>
      <c r="I92" s="15" t="s">
        <v>29</v>
      </c>
      <c r="J92" s="16" t="s">
        <v>22</v>
      </c>
      <c r="K92" s="15"/>
      <c r="L92" s="15"/>
      <c r="M92" s="21"/>
    </row>
    <row r="93" ht="15.75" customHeight="1">
      <c r="A93" s="23" t="s">
        <v>23</v>
      </c>
      <c r="B93" s="24" t="s">
        <v>219</v>
      </c>
      <c r="C93" s="25" t="s">
        <v>228</v>
      </c>
      <c r="D93" s="25" t="s">
        <v>229</v>
      </c>
      <c r="E93" s="13"/>
      <c r="F93" s="13" t="s">
        <v>196</v>
      </c>
      <c r="G93" s="13" t="s">
        <v>197</v>
      </c>
      <c r="H93" s="16">
        <v>1050.0</v>
      </c>
      <c r="I93" s="15" t="s">
        <v>29</v>
      </c>
      <c r="J93" s="16" t="s">
        <v>20</v>
      </c>
      <c r="K93" s="15"/>
      <c r="L93" s="15"/>
      <c r="M93" s="21"/>
    </row>
    <row r="94" ht="15.75" customHeight="1">
      <c r="A94" s="13" t="s">
        <v>23</v>
      </c>
      <c r="B94" s="20" t="s">
        <v>197</v>
      </c>
      <c r="C94" s="14" t="s">
        <v>197</v>
      </c>
      <c r="D94" s="14" t="s">
        <v>230</v>
      </c>
      <c r="E94" s="13" t="s">
        <v>231</v>
      </c>
      <c r="F94" s="13" t="s">
        <v>196</v>
      </c>
      <c r="G94" s="13" t="s">
        <v>197</v>
      </c>
      <c r="H94" s="15">
        <v>20.0</v>
      </c>
      <c r="I94" s="16" t="s">
        <v>29</v>
      </c>
      <c r="J94" s="16" t="s">
        <v>20</v>
      </c>
      <c r="K94" s="16"/>
      <c r="L94" s="16"/>
      <c r="M94" s="9"/>
    </row>
    <row r="95" ht="15.75" customHeight="1">
      <c r="A95" s="13" t="s">
        <v>23</v>
      </c>
      <c r="B95" s="20" t="s">
        <v>197</v>
      </c>
      <c r="C95" s="14" t="s">
        <v>197</v>
      </c>
      <c r="D95" s="14" t="s">
        <v>230</v>
      </c>
      <c r="E95" s="13" t="s">
        <v>231</v>
      </c>
      <c r="F95" s="13" t="s">
        <v>196</v>
      </c>
      <c r="G95" s="13" t="s">
        <v>197</v>
      </c>
      <c r="H95" s="15">
        <v>15.0</v>
      </c>
      <c r="I95" s="16" t="s">
        <v>29</v>
      </c>
      <c r="J95" s="16" t="s">
        <v>22</v>
      </c>
      <c r="K95" s="16"/>
      <c r="L95" s="16"/>
      <c r="M95" s="9"/>
    </row>
    <row r="96" ht="15.75" customHeight="1">
      <c r="A96" s="13" t="s">
        <v>23</v>
      </c>
      <c r="B96" s="18" t="s">
        <v>232</v>
      </c>
      <c r="C96" s="14" t="s">
        <v>232</v>
      </c>
      <c r="D96" s="14" t="s">
        <v>207</v>
      </c>
      <c r="E96" s="13" t="s">
        <v>233</v>
      </c>
      <c r="F96" s="13" t="s">
        <v>196</v>
      </c>
      <c r="G96" s="13" t="s">
        <v>197</v>
      </c>
      <c r="H96" s="15">
        <v>50.0</v>
      </c>
      <c r="I96" s="15" t="s">
        <v>19</v>
      </c>
      <c r="J96" s="16" t="s">
        <v>22</v>
      </c>
      <c r="K96" s="16"/>
      <c r="L96" s="16"/>
      <c r="M96" s="19"/>
    </row>
    <row r="97" ht="15.75" customHeight="1">
      <c r="A97" s="13" t="s">
        <v>23</v>
      </c>
      <c r="B97" s="20" t="s">
        <v>232</v>
      </c>
      <c r="C97" s="14" t="s">
        <v>232</v>
      </c>
      <c r="D97" s="14" t="s">
        <v>207</v>
      </c>
      <c r="E97" s="13" t="s">
        <v>233</v>
      </c>
      <c r="F97" s="13" t="s">
        <v>196</v>
      </c>
      <c r="G97" s="13" t="s">
        <v>197</v>
      </c>
      <c r="H97" s="15">
        <v>60.0</v>
      </c>
      <c r="I97" s="16" t="s">
        <v>19</v>
      </c>
      <c r="J97" s="16" t="s">
        <v>20</v>
      </c>
      <c r="K97" s="16"/>
      <c r="L97" s="16"/>
      <c r="M97" s="19"/>
    </row>
    <row r="98" ht="15.75" customHeight="1">
      <c r="A98" s="13" t="s">
        <v>125</v>
      </c>
      <c r="B98" s="20" t="s">
        <v>234</v>
      </c>
      <c r="C98" s="14" t="s">
        <v>235</v>
      </c>
      <c r="D98" s="14" t="s">
        <v>236</v>
      </c>
      <c r="E98" s="13" t="s">
        <v>237</v>
      </c>
      <c r="F98" s="13" t="s">
        <v>196</v>
      </c>
      <c r="G98" s="13" t="s">
        <v>197</v>
      </c>
      <c r="H98" s="15">
        <f>30+20</f>
        <v>50</v>
      </c>
      <c r="I98" s="15" t="s">
        <v>29</v>
      </c>
      <c r="J98" s="16" t="s">
        <v>22</v>
      </c>
      <c r="K98" s="15"/>
      <c r="L98" s="15"/>
      <c r="M98" s="19"/>
    </row>
    <row r="99" ht="15.75" customHeight="1">
      <c r="A99" s="13" t="s">
        <v>184</v>
      </c>
      <c r="B99" s="20" t="s">
        <v>238</v>
      </c>
      <c r="C99" s="14" t="s">
        <v>239</v>
      </c>
      <c r="D99" s="14" t="s">
        <v>240</v>
      </c>
      <c r="E99" s="13" t="s">
        <v>241</v>
      </c>
      <c r="F99" s="13" t="s">
        <v>242</v>
      </c>
      <c r="G99" s="13" t="s">
        <v>243</v>
      </c>
      <c r="H99" s="15">
        <v>30.0</v>
      </c>
      <c r="I99" s="15" t="s">
        <v>29</v>
      </c>
      <c r="J99" s="16" t="s">
        <v>20</v>
      </c>
      <c r="K99" s="16"/>
      <c r="L99" s="16"/>
      <c r="M99" s="19"/>
    </row>
    <row r="100" ht="15.75" customHeight="1">
      <c r="A100" s="13" t="s">
        <v>184</v>
      </c>
      <c r="B100" s="20" t="s">
        <v>238</v>
      </c>
      <c r="C100" s="14" t="s">
        <v>239</v>
      </c>
      <c r="D100" s="14" t="s">
        <v>240</v>
      </c>
      <c r="E100" s="13" t="s">
        <v>241</v>
      </c>
      <c r="F100" s="13" t="s">
        <v>242</v>
      </c>
      <c r="G100" s="13" t="s">
        <v>243</v>
      </c>
      <c r="H100" s="15">
        <v>60.0</v>
      </c>
      <c r="I100" s="15" t="s">
        <v>29</v>
      </c>
      <c r="J100" s="16" t="s">
        <v>22</v>
      </c>
      <c r="K100" s="16"/>
      <c r="L100" s="16"/>
      <c r="M100" s="19"/>
    </row>
    <row r="101" ht="15.75" customHeight="1">
      <c r="A101" s="13" t="s">
        <v>14</v>
      </c>
      <c r="B101" s="18" t="s">
        <v>244</v>
      </c>
      <c r="C101" s="9" t="s">
        <v>244</v>
      </c>
      <c r="D101" s="14" t="s">
        <v>245</v>
      </c>
      <c r="E101" s="13" t="s">
        <v>246</v>
      </c>
      <c r="F101" s="13" t="s">
        <v>242</v>
      </c>
      <c r="G101" s="13" t="s">
        <v>243</v>
      </c>
      <c r="H101" s="15">
        <f>180+60+60</f>
        <v>300</v>
      </c>
      <c r="I101" s="15" t="s">
        <v>29</v>
      </c>
      <c r="J101" s="16" t="s">
        <v>22</v>
      </c>
      <c r="K101" s="16"/>
      <c r="L101" s="16"/>
      <c r="M101" s="19"/>
    </row>
    <row r="102" ht="15.75" customHeight="1">
      <c r="A102" s="13" t="s">
        <v>14</v>
      </c>
      <c r="B102" s="18" t="s">
        <v>244</v>
      </c>
      <c r="C102" s="9" t="s">
        <v>244</v>
      </c>
      <c r="D102" s="14" t="s">
        <v>245</v>
      </c>
      <c r="E102" s="13" t="s">
        <v>246</v>
      </c>
      <c r="F102" s="13" t="s">
        <v>242</v>
      </c>
      <c r="G102" s="13" t="s">
        <v>243</v>
      </c>
      <c r="H102" s="15">
        <v>100.0</v>
      </c>
      <c r="I102" s="15" t="s">
        <v>29</v>
      </c>
      <c r="J102" s="16" t="s">
        <v>20</v>
      </c>
      <c r="K102" s="16"/>
      <c r="L102" s="16"/>
      <c r="M102" s="19"/>
    </row>
    <row r="103" ht="15.75" customHeight="1">
      <c r="A103" s="6" t="s">
        <v>14</v>
      </c>
      <c r="B103" s="7" t="s">
        <v>247</v>
      </c>
      <c r="C103" s="8" t="s">
        <v>247</v>
      </c>
      <c r="D103" s="8" t="s">
        <v>248</v>
      </c>
      <c r="E103" s="6" t="s">
        <v>249</v>
      </c>
      <c r="F103" s="6" t="s">
        <v>242</v>
      </c>
      <c r="G103" s="6" t="s">
        <v>243</v>
      </c>
      <c r="H103" s="9"/>
      <c r="I103" s="10" t="s">
        <v>19</v>
      </c>
      <c r="J103" s="10" t="s">
        <v>20</v>
      </c>
      <c r="K103" s="10">
        <v>35.0</v>
      </c>
      <c r="L103" s="10"/>
      <c r="M103" s="12" t="s">
        <v>21</v>
      </c>
    </row>
    <row r="104" ht="15.75" customHeight="1">
      <c r="A104" s="13" t="s">
        <v>184</v>
      </c>
      <c r="B104" s="20" t="s">
        <v>250</v>
      </c>
      <c r="C104" s="14" t="s">
        <v>251</v>
      </c>
      <c r="D104" s="14" t="s">
        <v>252</v>
      </c>
      <c r="E104" s="13" t="s">
        <v>253</v>
      </c>
      <c r="F104" s="13" t="s">
        <v>242</v>
      </c>
      <c r="G104" s="13" t="s">
        <v>243</v>
      </c>
      <c r="H104" s="15">
        <f>25+20</f>
        <v>45</v>
      </c>
      <c r="I104" s="15" t="s">
        <v>29</v>
      </c>
      <c r="J104" s="16" t="s">
        <v>22</v>
      </c>
      <c r="K104" s="16"/>
      <c r="L104" s="16"/>
      <c r="M104" s="19"/>
    </row>
    <row r="105" ht="15.75" customHeight="1">
      <c r="A105" s="13" t="s">
        <v>184</v>
      </c>
      <c r="B105" s="20" t="s">
        <v>250</v>
      </c>
      <c r="C105" s="14" t="s">
        <v>251</v>
      </c>
      <c r="D105" s="14" t="s">
        <v>252</v>
      </c>
      <c r="E105" s="13" t="s">
        <v>253</v>
      </c>
      <c r="F105" s="13" t="s">
        <v>242</v>
      </c>
      <c r="G105" s="13" t="s">
        <v>243</v>
      </c>
      <c r="H105" s="15">
        <f>25+15+40</f>
        <v>80</v>
      </c>
      <c r="I105" s="15" t="s">
        <v>29</v>
      </c>
      <c r="J105" s="16" t="s">
        <v>20</v>
      </c>
      <c r="K105" s="16"/>
      <c r="L105" s="16"/>
      <c r="M105" s="19"/>
    </row>
    <row r="106" ht="15.75" customHeight="1">
      <c r="A106" s="13" t="s">
        <v>184</v>
      </c>
      <c r="B106" s="18" t="s">
        <v>254</v>
      </c>
      <c r="C106" s="9" t="s">
        <v>254</v>
      </c>
      <c r="D106" s="9" t="s">
        <v>255</v>
      </c>
      <c r="E106" s="16" t="s">
        <v>256</v>
      </c>
      <c r="F106" s="13" t="s">
        <v>257</v>
      </c>
      <c r="G106" s="13" t="s">
        <v>258</v>
      </c>
      <c r="H106" s="15">
        <v>20.0</v>
      </c>
      <c r="I106" s="15" t="s">
        <v>29</v>
      </c>
      <c r="J106" s="16" t="s">
        <v>20</v>
      </c>
      <c r="K106" s="16"/>
      <c r="L106" s="16"/>
      <c r="M106" s="21"/>
    </row>
    <row r="107" ht="15.75" customHeight="1">
      <c r="A107" s="13" t="s">
        <v>184</v>
      </c>
      <c r="B107" s="18" t="s">
        <v>254</v>
      </c>
      <c r="C107" s="9" t="s">
        <v>254</v>
      </c>
      <c r="D107" s="9" t="s">
        <v>255</v>
      </c>
      <c r="E107" s="16" t="s">
        <v>256</v>
      </c>
      <c r="F107" s="13" t="s">
        <v>257</v>
      </c>
      <c r="G107" s="13" t="s">
        <v>258</v>
      </c>
      <c r="H107" s="15">
        <v>20.0</v>
      </c>
      <c r="I107" s="15" t="s">
        <v>29</v>
      </c>
      <c r="J107" s="16" t="s">
        <v>22</v>
      </c>
      <c r="K107" s="16"/>
      <c r="L107" s="16"/>
      <c r="M107" s="21"/>
    </row>
    <row r="108" ht="15.75" customHeight="1">
      <c r="A108" s="13" t="s">
        <v>184</v>
      </c>
      <c r="B108" s="20" t="s">
        <v>259</v>
      </c>
      <c r="C108" s="14" t="s">
        <v>259</v>
      </c>
      <c r="D108" s="14" t="s">
        <v>260</v>
      </c>
      <c r="E108" s="13" t="s">
        <v>261</v>
      </c>
      <c r="F108" s="13" t="s">
        <v>257</v>
      </c>
      <c r="G108" s="13" t="s">
        <v>262</v>
      </c>
      <c r="H108" s="16">
        <f>30+30</f>
        <v>60</v>
      </c>
      <c r="I108" s="15" t="s">
        <v>29</v>
      </c>
      <c r="J108" s="16" t="s">
        <v>22</v>
      </c>
      <c r="K108" s="16"/>
      <c r="L108" s="16"/>
      <c r="M108" s="19"/>
    </row>
    <row r="109" ht="15.75" customHeight="1">
      <c r="A109" s="13" t="s">
        <v>184</v>
      </c>
      <c r="B109" s="20" t="s">
        <v>259</v>
      </c>
      <c r="C109" s="14" t="s">
        <v>259</v>
      </c>
      <c r="D109" s="14" t="s">
        <v>260</v>
      </c>
      <c r="E109" s="13" t="s">
        <v>261</v>
      </c>
      <c r="F109" s="13" t="s">
        <v>257</v>
      </c>
      <c r="G109" s="13" t="s">
        <v>262</v>
      </c>
      <c r="H109" s="16">
        <f>30+60</f>
        <v>90</v>
      </c>
      <c r="I109" s="15" t="s">
        <v>29</v>
      </c>
      <c r="J109" s="16" t="s">
        <v>20</v>
      </c>
      <c r="K109" s="16"/>
      <c r="L109" s="16"/>
      <c r="M109" s="19"/>
    </row>
    <row r="110" ht="15.75" customHeight="1">
      <c r="A110" s="13" t="s">
        <v>14</v>
      </c>
      <c r="B110" s="14" t="s">
        <v>263</v>
      </c>
      <c r="C110" s="14" t="s">
        <v>263</v>
      </c>
      <c r="D110" s="14" t="s">
        <v>264</v>
      </c>
      <c r="E110" s="13" t="s">
        <v>265</v>
      </c>
      <c r="F110" s="13" t="s">
        <v>257</v>
      </c>
      <c r="G110" s="13" t="s">
        <v>262</v>
      </c>
      <c r="H110" s="15">
        <f>40</f>
        <v>40</v>
      </c>
      <c r="I110" s="15" t="s">
        <v>29</v>
      </c>
      <c r="J110" s="16" t="s">
        <v>20</v>
      </c>
      <c r="K110" s="16"/>
      <c r="L110" s="16"/>
      <c r="M110" s="19"/>
    </row>
    <row r="111" ht="15.75" customHeight="1">
      <c r="A111" s="13" t="s">
        <v>184</v>
      </c>
      <c r="B111" s="20" t="s">
        <v>266</v>
      </c>
      <c r="C111" s="14" t="s">
        <v>266</v>
      </c>
      <c r="D111" s="14" t="s">
        <v>267</v>
      </c>
      <c r="E111" s="13" t="s">
        <v>268</v>
      </c>
      <c r="F111" s="13" t="s">
        <v>257</v>
      </c>
      <c r="G111" s="13" t="s">
        <v>262</v>
      </c>
      <c r="H111" s="16">
        <v>40.0</v>
      </c>
      <c r="I111" s="15" t="s">
        <v>29</v>
      </c>
      <c r="J111" s="16" t="s">
        <v>22</v>
      </c>
      <c r="K111" s="16"/>
      <c r="L111" s="16"/>
      <c r="M111" s="19"/>
    </row>
    <row r="112" ht="15.75" customHeight="1">
      <c r="A112" s="13" t="s">
        <v>184</v>
      </c>
      <c r="B112" s="20" t="s">
        <v>266</v>
      </c>
      <c r="C112" s="14" t="s">
        <v>266</v>
      </c>
      <c r="D112" s="14" t="s">
        <v>267</v>
      </c>
      <c r="E112" s="13" t="s">
        <v>268</v>
      </c>
      <c r="F112" s="13" t="s">
        <v>257</v>
      </c>
      <c r="G112" s="13" t="s">
        <v>262</v>
      </c>
      <c r="H112" s="16">
        <v>40.0</v>
      </c>
      <c r="I112" s="15" t="s">
        <v>29</v>
      </c>
      <c r="J112" s="16" t="s">
        <v>20</v>
      </c>
      <c r="K112" s="16"/>
      <c r="L112" s="16"/>
      <c r="M112" s="19"/>
    </row>
    <row r="113" ht="15.75" customHeight="1">
      <c r="A113" s="13" t="s">
        <v>14</v>
      </c>
      <c r="B113" s="18" t="s">
        <v>269</v>
      </c>
      <c r="C113" s="14" t="s">
        <v>269</v>
      </c>
      <c r="D113" s="14" t="s">
        <v>270</v>
      </c>
      <c r="E113" s="13" t="s">
        <v>271</v>
      </c>
      <c r="F113" s="13" t="s">
        <v>257</v>
      </c>
      <c r="G113" s="13" t="s">
        <v>262</v>
      </c>
      <c r="H113" s="15">
        <v>45.0</v>
      </c>
      <c r="I113" s="15" t="s">
        <v>19</v>
      </c>
      <c r="J113" s="16" t="s">
        <v>22</v>
      </c>
      <c r="K113" s="16"/>
      <c r="L113" s="16"/>
      <c r="M113" s="19"/>
    </row>
    <row r="114" ht="15.75" customHeight="1">
      <c r="A114" s="13" t="s">
        <v>14</v>
      </c>
      <c r="B114" s="20" t="s">
        <v>269</v>
      </c>
      <c r="C114" s="14" t="s">
        <v>269</v>
      </c>
      <c r="D114" s="14" t="s">
        <v>270</v>
      </c>
      <c r="E114" s="13" t="s">
        <v>271</v>
      </c>
      <c r="F114" s="13" t="s">
        <v>257</v>
      </c>
      <c r="G114" s="13" t="s">
        <v>262</v>
      </c>
      <c r="H114" s="15">
        <v>50.0</v>
      </c>
      <c r="I114" s="16" t="s">
        <v>19</v>
      </c>
      <c r="J114" s="16" t="s">
        <v>20</v>
      </c>
      <c r="K114" s="16"/>
      <c r="L114" s="16"/>
      <c r="M114" s="19"/>
    </row>
    <row r="115" ht="15.75" customHeight="1">
      <c r="A115" s="13" t="s">
        <v>14</v>
      </c>
      <c r="B115" s="18" t="s">
        <v>272</v>
      </c>
      <c r="C115" s="14" t="s">
        <v>272</v>
      </c>
      <c r="D115" s="14" t="s">
        <v>273</v>
      </c>
      <c r="E115" s="13" t="s">
        <v>274</v>
      </c>
      <c r="F115" s="13" t="s">
        <v>257</v>
      </c>
      <c r="G115" s="13" t="s">
        <v>262</v>
      </c>
      <c r="H115" s="15">
        <v>100.0</v>
      </c>
      <c r="I115" s="15" t="s">
        <v>29</v>
      </c>
      <c r="J115" s="16" t="s">
        <v>22</v>
      </c>
      <c r="K115" s="16"/>
      <c r="L115" s="16"/>
      <c r="M115" s="19"/>
    </row>
    <row r="116" ht="15.75" customHeight="1">
      <c r="A116" s="13" t="s">
        <v>14</v>
      </c>
      <c r="B116" s="18" t="s">
        <v>272</v>
      </c>
      <c r="C116" s="14" t="s">
        <v>272</v>
      </c>
      <c r="D116" s="14" t="s">
        <v>273</v>
      </c>
      <c r="E116" s="13" t="s">
        <v>274</v>
      </c>
      <c r="F116" s="13" t="s">
        <v>257</v>
      </c>
      <c r="G116" s="13" t="s">
        <v>262</v>
      </c>
      <c r="H116" s="15">
        <v>15.0</v>
      </c>
      <c r="I116" s="15" t="s">
        <v>29</v>
      </c>
      <c r="J116" s="16" t="s">
        <v>20</v>
      </c>
      <c r="K116" s="16"/>
      <c r="L116" s="16"/>
      <c r="M116" s="21"/>
    </row>
    <row r="117" ht="15.75" customHeight="1">
      <c r="A117" s="13" t="s">
        <v>14</v>
      </c>
      <c r="B117" s="14" t="s">
        <v>275</v>
      </c>
      <c r="C117" s="14" t="s">
        <v>275</v>
      </c>
      <c r="D117" s="14" t="s">
        <v>264</v>
      </c>
      <c r="E117" s="13"/>
      <c r="F117" s="13" t="s">
        <v>257</v>
      </c>
      <c r="G117" s="13" t="s">
        <v>262</v>
      </c>
      <c r="H117" s="15">
        <v>150.0</v>
      </c>
      <c r="I117" s="15" t="s">
        <v>29</v>
      </c>
      <c r="J117" s="16" t="s">
        <v>20</v>
      </c>
      <c r="K117" s="16"/>
      <c r="L117" s="16"/>
      <c r="M117" s="19"/>
    </row>
    <row r="118" ht="15.75" customHeight="1">
      <c r="A118" s="6" t="s">
        <v>14</v>
      </c>
      <c r="B118" s="17" t="s">
        <v>276</v>
      </c>
      <c r="C118" s="8" t="s">
        <v>276</v>
      </c>
      <c r="D118" s="8" t="s">
        <v>277</v>
      </c>
      <c r="E118" s="6" t="s">
        <v>278</v>
      </c>
      <c r="F118" s="6" t="s">
        <v>257</v>
      </c>
      <c r="G118" s="6" t="s">
        <v>279</v>
      </c>
      <c r="H118" s="9"/>
      <c r="I118" s="11" t="s">
        <v>19</v>
      </c>
      <c r="J118" s="10" t="s">
        <v>22</v>
      </c>
      <c r="K118" s="10">
        <v>70.0</v>
      </c>
      <c r="L118" s="10"/>
      <c r="M118" s="12" t="s">
        <v>21</v>
      </c>
    </row>
    <row r="119" ht="15.75" customHeight="1">
      <c r="A119" s="6" t="s">
        <v>14</v>
      </c>
      <c r="B119" s="7" t="s">
        <v>276</v>
      </c>
      <c r="C119" s="8" t="s">
        <v>276</v>
      </c>
      <c r="D119" s="8" t="s">
        <v>277</v>
      </c>
      <c r="E119" s="6" t="s">
        <v>278</v>
      </c>
      <c r="F119" s="6" t="s">
        <v>257</v>
      </c>
      <c r="G119" s="6" t="s">
        <v>279</v>
      </c>
      <c r="H119" s="9"/>
      <c r="I119" s="10" t="s">
        <v>19</v>
      </c>
      <c r="J119" s="10" t="s">
        <v>20</v>
      </c>
      <c r="K119" s="10">
        <v>70.0</v>
      </c>
      <c r="L119" s="10"/>
      <c r="M119" s="12" t="s">
        <v>21</v>
      </c>
    </row>
    <row r="120" ht="15.75" customHeight="1">
      <c r="A120" s="6" t="s">
        <v>14</v>
      </c>
      <c r="B120" s="7" t="s">
        <v>269</v>
      </c>
      <c r="C120" s="8" t="s">
        <v>280</v>
      </c>
      <c r="D120" s="8" t="s">
        <v>281</v>
      </c>
      <c r="E120" s="6"/>
      <c r="F120" s="6" t="s">
        <v>257</v>
      </c>
      <c r="G120" s="6" t="s">
        <v>279</v>
      </c>
      <c r="H120" s="9"/>
      <c r="I120" s="10" t="s">
        <v>19</v>
      </c>
      <c r="J120" s="10" t="s">
        <v>20</v>
      </c>
      <c r="K120" s="10">
        <v>100.0</v>
      </c>
      <c r="L120" s="10"/>
      <c r="M120" s="12" t="s">
        <v>21</v>
      </c>
    </row>
    <row r="121" ht="15.75" customHeight="1">
      <c r="A121" s="13" t="s">
        <v>23</v>
      </c>
      <c r="B121" s="18" t="s">
        <v>282</v>
      </c>
      <c r="C121" s="9" t="s">
        <v>282</v>
      </c>
      <c r="D121" s="14" t="s">
        <v>283</v>
      </c>
      <c r="E121" s="13" t="s">
        <v>284</v>
      </c>
      <c r="F121" s="13" t="s">
        <v>285</v>
      </c>
      <c r="G121" s="13" t="s">
        <v>286</v>
      </c>
      <c r="H121" s="15">
        <v>25.0</v>
      </c>
      <c r="I121" s="15" t="s">
        <v>29</v>
      </c>
      <c r="J121" s="16" t="s">
        <v>22</v>
      </c>
      <c r="K121" s="9"/>
      <c r="L121" s="9"/>
      <c r="M121" s="19"/>
    </row>
    <row r="122" ht="15.75" customHeight="1">
      <c r="A122" s="13" t="s">
        <v>23</v>
      </c>
      <c r="B122" s="18" t="s">
        <v>282</v>
      </c>
      <c r="C122" s="9" t="s">
        <v>282</v>
      </c>
      <c r="D122" s="14" t="s">
        <v>283</v>
      </c>
      <c r="E122" s="13" t="s">
        <v>284</v>
      </c>
      <c r="F122" s="13" t="s">
        <v>285</v>
      </c>
      <c r="G122" s="13" t="s">
        <v>286</v>
      </c>
      <c r="H122" s="15">
        <v>25.0</v>
      </c>
      <c r="I122" s="15" t="s">
        <v>29</v>
      </c>
      <c r="J122" s="16" t="s">
        <v>20</v>
      </c>
      <c r="K122" s="9"/>
      <c r="L122" s="9"/>
      <c r="M122" s="19"/>
    </row>
    <row r="123" ht="15.75" customHeight="1">
      <c r="A123" s="13" t="s">
        <v>23</v>
      </c>
      <c r="B123" s="14" t="s">
        <v>287</v>
      </c>
      <c r="C123" s="14" t="s">
        <v>287</v>
      </c>
      <c r="D123" s="14" t="s">
        <v>288</v>
      </c>
      <c r="E123" s="13"/>
      <c r="F123" s="13" t="s">
        <v>285</v>
      </c>
      <c r="G123" s="13" t="s">
        <v>286</v>
      </c>
      <c r="H123" s="15">
        <v>15.0</v>
      </c>
      <c r="I123" s="15" t="s">
        <v>29</v>
      </c>
      <c r="J123" s="16" t="s">
        <v>22</v>
      </c>
      <c r="K123" s="9"/>
      <c r="L123" s="9"/>
      <c r="M123" s="19"/>
    </row>
    <row r="124" ht="15.75" customHeight="1">
      <c r="A124" s="13" t="s">
        <v>23</v>
      </c>
      <c r="B124" s="14" t="s">
        <v>289</v>
      </c>
      <c r="C124" s="14" t="s">
        <v>289</v>
      </c>
      <c r="D124" s="14" t="s">
        <v>290</v>
      </c>
      <c r="E124" s="13" t="s">
        <v>291</v>
      </c>
      <c r="F124" s="13" t="s">
        <v>285</v>
      </c>
      <c r="G124" s="13" t="s">
        <v>286</v>
      </c>
      <c r="H124" s="15">
        <v>80.0</v>
      </c>
      <c r="I124" s="15" t="s">
        <v>29</v>
      </c>
      <c r="J124" s="16" t="s">
        <v>20</v>
      </c>
      <c r="K124" s="16"/>
      <c r="L124" s="16"/>
      <c r="M124" s="19"/>
    </row>
    <row r="125" ht="15.75" customHeight="1">
      <c r="A125" s="13" t="s">
        <v>125</v>
      </c>
      <c r="B125" s="18" t="s">
        <v>292</v>
      </c>
      <c r="C125" s="9" t="s">
        <v>292</v>
      </c>
      <c r="D125" s="14" t="s">
        <v>293</v>
      </c>
      <c r="E125" s="13" t="s">
        <v>294</v>
      </c>
      <c r="F125" s="13" t="s">
        <v>285</v>
      </c>
      <c r="G125" s="13" t="s">
        <v>295</v>
      </c>
      <c r="H125" s="15">
        <f t="shared" ref="H125:H126" si="3">30+20</f>
        <v>50</v>
      </c>
      <c r="I125" s="15" t="s">
        <v>29</v>
      </c>
      <c r="J125" s="16" t="s">
        <v>22</v>
      </c>
      <c r="K125" s="9"/>
      <c r="L125" s="9"/>
      <c r="M125" s="19"/>
    </row>
    <row r="126" ht="15.75" customHeight="1">
      <c r="A126" s="13" t="s">
        <v>125</v>
      </c>
      <c r="B126" s="18" t="s">
        <v>292</v>
      </c>
      <c r="C126" s="9" t="s">
        <v>292</v>
      </c>
      <c r="D126" s="14" t="s">
        <v>293</v>
      </c>
      <c r="E126" s="13" t="s">
        <v>294</v>
      </c>
      <c r="F126" s="13" t="s">
        <v>285</v>
      </c>
      <c r="G126" s="13" t="s">
        <v>295</v>
      </c>
      <c r="H126" s="15">
        <f t="shared" si="3"/>
        <v>50</v>
      </c>
      <c r="I126" s="15" t="s">
        <v>29</v>
      </c>
      <c r="J126" s="16" t="s">
        <v>20</v>
      </c>
      <c r="K126" s="9"/>
      <c r="L126" s="9"/>
      <c r="M126" s="19"/>
    </row>
    <row r="127" ht="15.75" customHeight="1">
      <c r="A127" s="13" t="s">
        <v>23</v>
      </c>
      <c r="B127" s="14" t="s">
        <v>296</v>
      </c>
      <c r="C127" s="14" t="s">
        <v>296</v>
      </c>
      <c r="D127" s="14" t="s">
        <v>264</v>
      </c>
      <c r="E127" s="13" t="s">
        <v>297</v>
      </c>
      <c r="F127" s="13" t="s">
        <v>285</v>
      </c>
      <c r="G127" s="13" t="s">
        <v>295</v>
      </c>
      <c r="H127" s="15">
        <v>70.0</v>
      </c>
      <c r="I127" s="15" t="s">
        <v>19</v>
      </c>
      <c r="J127" s="16" t="s">
        <v>22</v>
      </c>
      <c r="K127" s="9"/>
      <c r="L127" s="9"/>
      <c r="M127" s="19"/>
    </row>
    <row r="128" ht="15.75" customHeight="1">
      <c r="A128" s="13" t="s">
        <v>23</v>
      </c>
      <c r="B128" s="14" t="s">
        <v>298</v>
      </c>
      <c r="C128" s="14" t="s">
        <v>298</v>
      </c>
      <c r="D128" s="14" t="s">
        <v>299</v>
      </c>
      <c r="E128" s="13" t="s">
        <v>300</v>
      </c>
      <c r="F128" s="13" t="s">
        <v>285</v>
      </c>
      <c r="G128" s="13" t="s">
        <v>295</v>
      </c>
      <c r="H128" s="15">
        <v>100.0</v>
      </c>
      <c r="I128" s="15" t="s">
        <v>29</v>
      </c>
      <c r="J128" s="16" t="s">
        <v>22</v>
      </c>
      <c r="K128" s="9"/>
      <c r="L128" s="9"/>
      <c r="M128" s="19"/>
    </row>
    <row r="129" ht="15.75" customHeight="1">
      <c r="A129" s="13" t="s">
        <v>23</v>
      </c>
      <c r="B129" s="18" t="s">
        <v>301</v>
      </c>
      <c r="C129" s="14" t="s">
        <v>301</v>
      </c>
      <c r="D129" s="14" t="s">
        <v>302</v>
      </c>
      <c r="E129" s="13" t="s">
        <v>303</v>
      </c>
      <c r="F129" s="13" t="s">
        <v>285</v>
      </c>
      <c r="G129" s="13" t="s">
        <v>295</v>
      </c>
      <c r="H129" s="15">
        <v>55.0</v>
      </c>
      <c r="I129" s="15" t="s">
        <v>29</v>
      </c>
      <c r="J129" s="16" t="s">
        <v>22</v>
      </c>
      <c r="K129" s="9"/>
      <c r="L129" s="9"/>
      <c r="M129" s="19"/>
    </row>
    <row r="130" ht="15.75" customHeight="1">
      <c r="A130" s="23" t="s">
        <v>125</v>
      </c>
      <c r="B130" s="24" t="s">
        <v>304</v>
      </c>
      <c r="C130" s="26" t="s">
        <v>304</v>
      </c>
      <c r="D130" s="25" t="s">
        <v>305</v>
      </c>
      <c r="E130" s="13" t="s">
        <v>306</v>
      </c>
      <c r="F130" s="13" t="s">
        <v>285</v>
      </c>
      <c r="G130" s="13" t="s">
        <v>307</v>
      </c>
      <c r="H130" s="15">
        <f>40+10</f>
        <v>50</v>
      </c>
      <c r="I130" s="15" t="s">
        <v>29</v>
      </c>
      <c r="J130" s="16" t="s">
        <v>20</v>
      </c>
      <c r="K130" s="16"/>
      <c r="L130" s="16"/>
      <c r="M130" s="19"/>
    </row>
    <row r="131" ht="15.75" customHeight="1">
      <c r="A131" s="23" t="s">
        <v>125</v>
      </c>
      <c r="B131" s="24" t="s">
        <v>304</v>
      </c>
      <c r="C131" s="26" t="s">
        <v>304</v>
      </c>
      <c r="D131" s="25" t="s">
        <v>305</v>
      </c>
      <c r="E131" s="13" t="s">
        <v>306</v>
      </c>
      <c r="F131" s="13" t="s">
        <v>285</v>
      </c>
      <c r="G131" s="13" t="s">
        <v>307</v>
      </c>
      <c r="H131" s="15">
        <f>50+25+20</f>
        <v>95</v>
      </c>
      <c r="I131" s="15" t="s">
        <v>29</v>
      </c>
      <c r="J131" s="16" t="s">
        <v>22</v>
      </c>
      <c r="K131" s="9"/>
      <c r="L131" s="9"/>
      <c r="M131" s="19"/>
    </row>
    <row r="132" ht="15.75" customHeight="1">
      <c r="A132" s="13" t="s">
        <v>23</v>
      </c>
      <c r="B132" s="20" t="s">
        <v>308</v>
      </c>
      <c r="C132" s="14" t="s">
        <v>308</v>
      </c>
      <c r="D132" s="14" t="s">
        <v>309</v>
      </c>
      <c r="E132" s="13" t="s">
        <v>310</v>
      </c>
      <c r="F132" s="13" t="s">
        <v>285</v>
      </c>
      <c r="G132" s="13" t="s">
        <v>307</v>
      </c>
      <c r="H132" s="15">
        <f>30+20</f>
        <v>50</v>
      </c>
      <c r="I132" s="15" t="s">
        <v>29</v>
      </c>
      <c r="J132" s="16" t="s">
        <v>20</v>
      </c>
      <c r="K132" s="16"/>
      <c r="L132" s="16"/>
      <c r="M132" s="19"/>
    </row>
    <row r="133" ht="15.75" customHeight="1">
      <c r="A133" s="13" t="s">
        <v>23</v>
      </c>
      <c r="B133" s="18" t="s">
        <v>311</v>
      </c>
      <c r="C133" s="14" t="s">
        <v>311</v>
      </c>
      <c r="D133" s="14" t="s">
        <v>312</v>
      </c>
      <c r="E133" s="13" t="s">
        <v>313</v>
      </c>
      <c r="F133" s="13" t="s">
        <v>285</v>
      </c>
      <c r="G133" s="13" t="s">
        <v>307</v>
      </c>
      <c r="H133" s="15">
        <v>20.0</v>
      </c>
      <c r="I133" s="15" t="s">
        <v>19</v>
      </c>
      <c r="J133" s="16" t="s">
        <v>22</v>
      </c>
      <c r="K133" s="15"/>
      <c r="L133" s="15"/>
      <c r="M133" s="19"/>
    </row>
    <row r="134" ht="15.75" customHeight="1">
      <c r="A134" s="13" t="s">
        <v>23</v>
      </c>
      <c r="B134" s="20" t="s">
        <v>311</v>
      </c>
      <c r="C134" s="14" t="s">
        <v>311</v>
      </c>
      <c r="D134" s="14" t="s">
        <v>312</v>
      </c>
      <c r="E134" s="13" t="s">
        <v>313</v>
      </c>
      <c r="F134" s="13" t="s">
        <v>285</v>
      </c>
      <c r="G134" s="13" t="s">
        <v>307</v>
      </c>
      <c r="H134" s="15">
        <v>40.0</v>
      </c>
      <c r="I134" s="16" t="s">
        <v>19</v>
      </c>
      <c r="J134" s="16" t="s">
        <v>20</v>
      </c>
      <c r="K134" s="9"/>
      <c r="L134" s="9"/>
      <c r="M134" s="19"/>
    </row>
    <row r="135" ht="15.75" customHeight="1">
      <c r="A135" s="6" t="s">
        <v>23</v>
      </c>
      <c r="B135" s="17" t="s">
        <v>311</v>
      </c>
      <c r="C135" s="8" t="s">
        <v>314</v>
      </c>
      <c r="D135" s="8" t="s">
        <v>315</v>
      </c>
      <c r="E135" s="6" t="s">
        <v>316</v>
      </c>
      <c r="F135" s="6" t="s">
        <v>285</v>
      </c>
      <c r="G135" s="6" t="s">
        <v>307</v>
      </c>
      <c r="H135" s="9"/>
      <c r="I135" s="11" t="s">
        <v>19</v>
      </c>
      <c r="J135" s="10" t="s">
        <v>22</v>
      </c>
      <c r="K135" s="10">
        <v>55.0</v>
      </c>
      <c r="L135" s="10"/>
      <c r="M135" s="12" t="s">
        <v>21</v>
      </c>
    </row>
    <row r="136" ht="15.75" customHeight="1">
      <c r="A136" s="6" t="s">
        <v>23</v>
      </c>
      <c r="B136" s="7" t="s">
        <v>311</v>
      </c>
      <c r="C136" s="8" t="s">
        <v>314</v>
      </c>
      <c r="D136" s="8" t="s">
        <v>315</v>
      </c>
      <c r="E136" s="6" t="s">
        <v>316</v>
      </c>
      <c r="F136" s="6" t="s">
        <v>285</v>
      </c>
      <c r="G136" s="6" t="s">
        <v>307</v>
      </c>
      <c r="H136" s="9"/>
      <c r="I136" s="10" t="s">
        <v>19</v>
      </c>
      <c r="J136" s="10" t="s">
        <v>20</v>
      </c>
      <c r="K136" s="10">
        <v>90.0</v>
      </c>
      <c r="L136" s="10"/>
      <c r="M136" s="12" t="s">
        <v>21</v>
      </c>
    </row>
    <row r="137" ht="15.75" customHeight="1">
      <c r="A137" s="13" t="s">
        <v>125</v>
      </c>
      <c r="B137" s="20" t="s">
        <v>317</v>
      </c>
      <c r="C137" s="14" t="s">
        <v>317</v>
      </c>
      <c r="D137" s="14" t="s">
        <v>318</v>
      </c>
      <c r="E137" s="13" t="s">
        <v>319</v>
      </c>
      <c r="F137" s="13" t="s">
        <v>285</v>
      </c>
      <c r="G137" s="13" t="s">
        <v>307</v>
      </c>
      <c r="H137" s="15">
        <v>40.0</v>
      </c>
      <c r="I137" s="15" t="s">
        <v>29</v>
      </c>
      <c r="J137" s="16" t="s">
        <v>20</v>
      </c>
      <c r="K137" s="16"/>
      <c r="L137" s="16"/>
      <c r="M137" s="19"/>
    </row>
    <row r="138" ht="15.75" customHeight="1">
      <c r="A138" s="13" t="s">
        <v>23</v>
      </c>
      <c r="B138" s="18" t="s">
        <v>320</v>
      </c>
      <c r="C138" s="14" t="s">
        <v>320</v>
      </c>
      <c r="D138" s="14" t="s">
        <v>321</v>
      </c>
      <c r="E138" s="13" t="s">
        <v>322</v>
      </c>
      <c r="F138" s="13" t="s">
        <v>323</v>
      </c>
      <c r="G138" s="13" t="s">
        <v>324</v>
      </c>
      <c r="H138" s="15">
        <v>30.0</v>
      </c>
      <c r="I138" s="15" t="s">
        <v>19</v>
      </c>
      <c r="J138" s="16" t="s">
        <v>22</v>
      </c>
      <c r="K138" s="16"/>
      <c r="L138" s="16"/>
      <c r="M138" s="19"/>
    </row>
    <row r="139" ht="15.75" customHeight="1">
      <c r="A139" s="13" t="s">
        <v>23</v>
      </c>
      <c r="B139" s="20" t="s">
        <v>320</v>
      </c>
      <c r="C139" s="14" t="s">
        <v>320</v>
      </c>
      <c r="D139" s="14" t="s">
        <v>321</v>
      </c>
      <c r="E139" s="13" t="s">
        <v>322</v>
      </c>
      <c r="F139" s="13" t="s">
        <v>323</v>
      </c>
      <c r="G139" s="13" t="s">
        <v>324</v>
      </c>
      <c r="H139" s="15">
        <v>50.0</v>
      </c>
      <c r="I139" s="16" t="s">
        <v>19</v>
      </c>
      <c r="J139" s="16" t="s">
        <v>20</v>
      </c>
      <c r="K139" s="9"/>
      <c r="L139" s="9"/>
      <c r="M139" s="19"/>
    </row>
    <row r="140" ht="15.75" customHeight="1">
      <c r="A140" s="13" t="s">
        <v>23</v>
      </c>
      <c r="B140" s="14" t="s">
        <v>325</v>
      </c>
      <c r="C140" s="14" t="s">
        <v>325</v>
      </c>
      <c r="D140" s="14" t="s">
        <v>326</v>
      </c>
      <c r="E140" s="13" t="s">
        <v>327</v>
      </c>
      <c r="F140" s="13" t="s">
        <v>323</v>
      </c>
      <c r="G140" s="13" t="s">
        <v>324</v>
      </c>
      <c r="H140" s="15">
        <v>30.0</v>
      </c>
      <c r="I140" s="15" t="s">
        <v>29</v>
      </c>
      <c r="J140" s="16" t="s">
        <v>22</v>
      </c>
      <c r="K140" s="16"/>
      <c r="L140" s="16"/>
      <c r="M140" s="19"/>
    </row>
    <row r="141" ht="15.75" customHeight="1">
      <c r="A141" s="13" t="s">
        <v>23</v>
      </c>
      <c r="B141" s="18" t="s">
        <v>328</v>
      </c>
      <c r="C141" s="14" t="s">
        <v>328</v>
      </c>
      <c r="D141" s="14" t="s">
        <v>329</v>
      </c>
      <c r="E141" s="13" t="s">
        <v>330</v>
      </c>
      <c r="F141" s="13" t="s">
        <v>323</v>
      </c>
      <c r="G141" s="13" t="s">
        <v>324</v>
      </c>
      <c r="H141" s="15">
        <v>80.0</v>
      </c>
      <c r="I141" s="15" t="s">
        <v>29</v>
      </c>
      <c r="J141" s="16" t="s">
        <v>22</v>
      </c>
      <c r="K141" s="9"/>
      <c r="L141" s="9"/>
      <c r="M141" s="19"/>
    </row>
    <row r="142" ht="15.75" customHeight="1">
      <c r="A142" s="13" t="s">
        <v>23</v>
      </c>
      <c r="B142" s="18" t="s">
        <v>328</v>
      </c>
      <c r="C142" s="14" t="s">
        <v>328</v>
      </c>
      <c r="D142" s="14" t="s">
        <v>329</v>
      </c>
      <c r="E142" s="13" t="s">
        <v>330</v>
      </c>
      <c r="F142" s="13" t="s">
        <v>323</v>
      </c>
      <c r="G142" s="13" t="s">
        <v>324</v>
      </c>
      <c r="H142" s="15">
        <v>80.0</v>
      </c>
      <c r="I142" s="15" t="s">
        <v>29</v>
      </c>
      <c r="J142" s="16" t="s">
        <v>20</v>
      </c>
      <c r="K142" s="16"/>
      <c r="L142" s="16"/>
      <c r="M142" s="19"/>
    </row>
    <row r="143" ht="15.75" customHeight="1">
      <c r="A143" s="27" t="s">
        <v>82</v>
      </c>
      <c r="B143" s="28" t="s">
        <v>331</v>
      </c>
      <c r="C143" s="28" t="s">
        <v>331</v>
      </c>
      <c r="D143" s="28" t="s">
        <v>332</v>
      </c>
      <c r="E143" s="27" t="s">
        <v>333</v>
      </c>
      <c r="F143" s="27" t="s">
        <v>334</v>
      </c>
      <c r="G143" s="27" t="s">
        <v>335</v>
      </c>
      <c r="H143" s="29">
        <f>30-30</f>
        <v>0</v>
      </c>
      <c r="I143" s="29" t="s">
        <v>29</v>
      </c>
      <c r="J143" s="30" t="s">
        <v>22</v>
      </c>
      <c r="K143" s="30"/>
      <c r="L143" s="30"/>
      <c r="M143" s="31" t="s">
        <v>336</v>
      </c>
    </row>
    <row r="144" ht="15.75" customHeight="1">
      <c r="A144" s="13" t="s">
        <v>82</v>
      </c>
      <c r="B144" s="18" t="s">
        <v>337</v>
      </c>
      <c r="C144" s="9" t="s">
        <v>337</v>
      </c>
      <c r="D144" s="14" t="s">
        <v>338</v>
      </c>
      <c r="E144" s="13" t="s">
        <v>339</v>
      </c>
      <c r="F144" s="13" t="s">
        <v>334</v>
      </c>
      <c r="G144" s="13" t="s">
        <v>340</v>
      </c>
      <c r="H144" s="15">
        <v>40.0</v>
      </c>
      <c r="I144" s="15" t="s">
        <v>19</v>
      </c>
      <c r="J144" s="16" t="s">
        <v>22</v>
      </c>
      <c r="K144" s="16"/>
      <c r="L144" s="16"/>
      <c r="M144" s="19"/>
    </row>
    <row r="145" ht="15.75" customHeight="1">
      <c r="A145" s="13" t="s">
        <v>82</v>
      </c>
      <c r="B145" s="18" t="s">
        <v>337</v>
      </c>
      <c r="C145" s="9" t="s">
        <v>337</v>
      </c>
      <c r="D145" s="14" t="s">
        <v>338</v>
      </c>
      <c r="E145" s="13" t="s">
        <v>339</v>
      </c>
      <c r="F145" s="13" t="s">
        <v>334</v>
      </c>
      <c r="G145" s="13" t="s">
        <v>340</v>
      </c>
      <c r="H145" s="15">
        <v>50.0</v>
      </c>
      <c r="I145" s="16" t="s">
        <v>19</v>
      </c>
      <c r="J145" s="16" t="s">
        <v>20</v>
      </c>
      <c r="K145" s="9"/>
      <c r="L145" s="9"/>
      <c r="M145" s="19"/>
    </row>
    <row r="146" ht="15.75" customHeight="1">
      <c r="A146" s="6" t="s">
        <v>82</v>
      </c>
      <c r="B146" s="17" t="s">
        <v>341</v>
      </c>
      <c r="C146" s="8" t="s">
        <v>341</v>
      </c>
      <c r="D146" s="8" t="s">
        <v>342</v>
      </c>
      <c r="E146" s="6" t="s">
        <v>343</v>
      </c>
      <c r="F146" s="6" t="s">
        <v>334</v>
      </c>
      <c r="G146" s="6" t="s">
        <v>340</v>
      </c>
      <c r="H146" s="9"/>
      <c r="I146" s="11" t="s">
        <v>19</v>
      </c>
      <c r="J146" s="10" t="s">
        <v>22</v>
      </c>
      <c r="K146" s="10">
        <v>50.0</v>
      </c>
      <c r="L146" s="10"/>
      <c r="M146" s="12" t="s">
        <v>21</v>
      </c>
    </row>
    <row r="147" ht="15.75" customHeight="1">
      <c r="A147" s="6" t="s">
        <v>82</v>
      </c>
      <c r="B147" s="7" t="s">
        <v>341</v>
      </c>
      <c r="C147" s="8" t="s">
        <v>341</v>
      </c>
      <c r="D147" s="8" t="s">
        <v>342</v>
      </c>
      <c r="E147" s="6" t="s">
        <v>343</v>
      </c>
      <c r="F147" s="6" t="s">
        <v>334</v>
      </c>
      <c r="G147" s="6" t="s">
        <v>340</v>
      </c>
      <c r="H147" s="9"/>
      <c r="I147" s="10" t="s">
        <v>19</v>
      </c>
      <c r="J147" s="10" t="s">
        <v>20</v>
      </c>
      <c r="K147" s="10">
        <v>60.0</v>
      </c>
      <c r="L147" s="10"/>
      <c r="M147" s="12" t="s">
        <v>21</v>
      </c>
    </row>
    <row r="148" ht="15.75" customHeight="1">
      <c r="A148" s="6" t="s">
        <v>82</v>
      </c>
      <c r="B148" s="17" t="s">
        <v>344</v>
      </c>
      <c r="C148" s="8" t="s">
        <v>344</v>
      </c>
      <c r="D148" s="8" t="s">
        <v>345</v>
      </c>
      <c r="E148" s="6" t="s">
        <v>346</v>
      </c>
      <c r="F148" s="6" t="s">
        <v>334</v>
      </c>
      <c r="G148" s="6" t="s">
        <v>340</v>
      </c>
      <c r="H148" s="9"/>
      <c r="I148" s="11" t="s">
        <v>19</v>
      </c>
      <c r="J148" s="10" t="s">
        <v>22</v>
      </c>
      <c r="K148" s="10">
        <v>50.0</v>
      </c>
      <c r="L148" s="10"/>
      <c r="M148" s="12" t="s">
        <v>21</v>
      </c>
    </row>
    <row r="149" ht="15.75" customHeight="1">
      <c r="A149" s="6" t="s">
        <v>82</v>
      </c>
      <c r="B149" s="7" t="s">
        <v>344</v>
      </c>
      <c r="C149" s="8" t="s">
        <v>344</v>
      </c>
      <c r="D149" s="8" t="s">
        <v>345</v>
      </c>
      <c r="E149" s="6" t="s">
        <v>346</v>
      </c>
      <c r="F149" s="6" t="s">
        <v>334</v>
      </c>
      <c r="G149" s="6" t="s">
        <v>340</v>
      </c>
      <c r="H149" s="9"/>
      <c r="I149" s="10" t="s">
        <v>19</v>
      </c>
      <c r="J149" s="10" t="s">
        <v>20</v>
      </c>
      <c r="K149" s="10">
        <v>60.0</v>
      </c>
      <c r="L149" s="10"/>
      <c r="M149" s="12" t="s">
        <v>21</v>
      </c>
    </row>
    <row r="150" ht="15.75" customHeight="1">
      <c r="A150" s="13" t="s">
        <v>82</v>
      </c>
      <c r="B150" s="18" t="s">
        <v>347</v>
      </c>
      <c r="C150" s="14" t="s">
        <v>347</v>
      </c>
      <c r="D150" s="14" t="s">
        <v>348</v>
      </c>
      <c r="E150" s="13" t="s">
        <v>349</v>
      </c>
      <c r="F150" s="13" t="s">
        <v>334</v>
      </c>
      <c r="G150" s="13" t="s">
        <v>340</v>
      </c>
      <c r="H150" s="15">
        <v>60.0</v>
      </c>
      <c r="I150" s="15" t="s">
        <v>29</v>
      </c>
      <c r="J150" s="16" t="s">
        <v>20</v>
      </c>
      <c r="K150" s="15"/>
      <c r="L150" s="15"/>
      <c r="M150" s="9"/>
    </row>
    <row r="151" ht="15.75" customHeight="1">
      <c r="A151" s="13" t="s">
        <v>82</v>
      </c>
      <c r="B151" s="18" t="s">
        <v>347</v>
      </c>
      <c r="C151" s="14" t="s">
        <v>347</v>
      </c>
      <c r="D151" s="14" t="s">
        <v>348</v>
      </c>
      <c r="E151" s="13" t="s">
        <v>349</v>
      </c>
      <c r="F151" s="13" t="s">
        <v>334</v>
      </c>
      <c r="G151" s="13" t="s">
        <v>340</v>
      </c>
      <c r="H151" s="15">
        <v>50.0</v>
      </c>
      <c r="I151" s="15" t="s">
        <v>29</v>
      </c>
      <c r="J151" s="16" t="s">
        <v>22</v>
      </c>
      <c r="K151" s="15"/>
      <c r="L151" s="15"/>
      <c r="M151" s="9"/>
    </row>
    <row r="152" ht="15.75" customHeight="1">
      <c r="A152" s="23" t="s">
        <v>82</v>
      </c>
      <c r="B152" s="24" t="s">
        <v>350</v>
      </c>
      <c r="C152" s="24" t="s">
        <v>350</v>
      </c>
      <c r="D152" s="25" t="s">
        <v>351</v>
      </c>
      <c r="E152" s="13"/>
      <c r="F152" s="13" t="s">
        <v>334</v>
      </c>
      <c r="G152" s="13" t="s">
        <v>340</v>
      </c>
      <c r="H152" s="15">
        <v>200.0</v>
      </c>
      <c r="I152" s="15" t="s">
        <v>29</v>
      </c>
      <c r="J152" s="16" t="s">
        <v>22</v>
      </c>
      <c r="K152" s="15"/>
      <c r="L152" s="15"/>
      <c r="M152" s="21"/>
    </row>
    <row r="153" ht="15.75" customHeight="1">
      <c r="A153" s="23" t="s">
        <v>82</v>
      </c>
      <c r="B153" s="24" t="s">
        <v>350</v>
      </c>
      <c r="C153" s="24" t="s">
        <v>350</v>
      </c>
      <c r="D153" s="25" t="s">
        <v>351</v>
      </c>
      <c r="E153" s="32"/>
      <c r="F153" s="13" t="s">
        <v>334</v>
      </c>
      <c r="G153" s="13" t="s">
        <v>340</v>
      </c>
      <c r="H153" s="15">
        <v>300.0</v>
      </c>
      <c r="I153" s="15" t="s">
        <v>29</v>
      </c>
      <c r="J153" s="16" t="s">
        <v>20</v>
      </c>
      <c r="K153" s="15"/>
      <c r="L153" s="15"/>
      <c r="M153" s="21"/>
    </row>
    <row r="154" ht="15.75" customHeight="1">
      <c r="A154" s="13" t="s">
        <v>82</v>
      </c>
      <c r="B154" s="18" t="s">
        <v>352</v>
      </c>
      <c r="C154" s="14" t="s">
        <v>352</v>
      </c>
      <c r="D154" s="14" t="s">
        <v>353</v>
      </c>
      <c r="E154" s="13"/>
      <c r="F154" s="13" t="s">
        <v>334</v>
      </c>
      <c r="G154" s="13" t="s">
        <v>340</v>
      </c>
      <c r="H154" s="15">
        <f>60</f>
        <v>60</v>
      </c>
      <c r="I154" s="15" t="s">
        <v>19</v>
      </c>
      <c r="J154" s="16" t="s">
        <v>22</v>
      </c>
      <c r="K154" s="16"/>
      <c r="L154" s="16"/>
      <c r="M154" s="19"/>
    </row>
    <row r="155" ht="15.75" customHeight="1">
      <c r="A155" s="13" t="s">
        <v>82</v>
      </c>
      <c r="B155" s="20" t="s">
        <v>352</v>
      </c>
      <c r="C155" s="14" t="s">
        <v>352</v>
      </c>
      <c r="D155" s="14" t="s">
        <v>353</v>
      </c>
      <c r="E155" s="13"/>
      <c r="F155" s="13" t="s">
        <v>334</v>
      </c>
      <c r="G155" s="13" t="s">
        <v>340</v>
      </c>
      <c r="H155" s="15">
        <f>90</f>
        <v>90</v>
      </c>
      <c r="I155" s="16" t="s">
        <v>19</v>
      </c>
      <c r="J155" s="16" t="s">
        <v>20</v>
      </c>
      <c r="K155" s="16"/>
      <c r="L155" s="16"/>
      <c r="M155" s="21"/>
    </row>
    <row r="156" ht="15.75" customHeight="1">
      <c r="A156" s="13" t="s">
        <v>82</v>
      </c>
      <c r="B156" s="20" t="s">
        <v>354</v>
      </c>
      <c r="C156" s="14" t="s">
        <v>354</v>
      </c>
      <c r="D156" s="14" t="s">
        <v>355</v>
      </c>
      <c r="E156" s="13"/>
      <c r="F156" s="13" t="s">
        <v>334</v>
      </c>
      <c r="G156" s="13" t="s">
        <v>340</v>
      </c>
      <c r="H156" s="15">
        <v>20.0</v>
      </c>
      <c r="I156" s="16" t="s">
        <v>19</v>
      </c>
      <c r="J156" s="16" t="s">
        <v>20</v>
      </c>
      <c r="K156" s="9"/>
      <c r="L156" s="9"/>
      <c r="M156" s="19"/>
    </row>
    <row r="157" ht="15.75" customHeight="1">
      <c r="A157" s="6" t="s">
        <v>82</v>
      </c>
      <c r="B157" s="17" t="s">
        <v>356</v>
      </c>
      <c r="C157" s="8" t="s">
        <v>356</v>
      </c>
      <c r="D157" s="8" t="s">
        <v>357</v>
      </c>
      <c r="E157" s="6" t="s">
        <v>358</v>
      </c>
      <c r="F157" s="6" t="s">
        <v>334</v>
      </c>
      <c r="G157" s="6" t="s">
        <v>340</v>
      </c>
      <c r="H157" s="9"/>
      <c r="I157" s="11" t="s">
        <v>19</v>
      </c>
      <c r="J157" s="10" t="s">
        <v>22</v>
      </c>
      <c r="K157" s="10">
        <v>50.0</v>
      </c>
      <c r="L157" s="10"/>
      <c r="M157" s="12" t="s">
        <v>21</v>
      </c>
    </row>
    <row r="158" ht="15.75" customHeight="1">
      <c r="A158" s="6" t="s">
        <v>82</v>
      </c>
      <c r="B158" s="7" t="s">
        <v>356</v>
      </c>
      <c r="C158" s="8" t="s">
        <v>356</v>
      </c>
      <c r="D158" s="8" t="s">
        <v>357</v>
      </c>
      <c r="E158" s="6" t="s">
        <v>358</v>
      </c>
      <c r="F158" s="6" t="s">
        <v>334</v>
      </c>
      <c r="G158" s="6" t="s">
        <v>340</v>
      </c>
      <c r="H158" s="9"/>
      <c r="I158" s="10" t="s">
        <v>19</v>
      </c>
      <c r="J158" s="10" t="s">
        <v>20</v>
      </c>
      <c r="K158" s="10">
        <v>70.0</v>
      </c>
      <c r="L158" s="10"/>
      <c r="M158" s="12" t="s">
        <v>21</v>
      </c>
    </row>
    <row r="159" ht="15.75" customHeight="1">
      <c r="A159" s="6" t="s">
        <v>82</v>
      </c>
      <c r="B159" s="7" t="s">
        <v>359</v>
      </c>
      <c r="C159" s="8" t="s">
        <v>359</v>
      </c>
      <c r="D159" s="8" t="s">
        <v>360</v>
      </c>
      <c r="E159" s="6" t="s">
        <v>361</v>
      </c>
      <c r="F159" s="6" t="s">
        <v>334</v>
      </c>
      <c r="G159" s="6" t="s">
        <v>340</v>
      </c>
      <c r="H159" s="9"/>
      <c r="I159" s="10" t="s">
        <v>19</v>
      </c>
      <c r="J159" s="10" t="s">
        <v>20</v>
      </c>
      <c r="K159" s="10">
        <v>70.0</v>
      </c>
      <c r="L159" s="10"/>
      <c r="M159" s="12" t="s">
        <v>21</v>
      </c>
    </row>
    <row r="160" ht="15.75" customHeight="1">
      <c r="A160" s="13" t="s">
        <v>82</v>
      </c>
      <c r="B160" s="18" t="s">
        <v>362</v>
      </c>
      <c r="C160" s="14" t="s">
        <v>362</v>
      </c>
      <c r="D160" s="14" t="s">
        <v>363</v>
      </c>
      <c r="E160" s="13" t="s">
        <v>364</v>
      </c>
      <c r="F160" s="13" t="s">
        <v>334</v>
      </c>
      <c r="G160" s="13" t="s">
        <v>340</v>
      </c>
      <c r="H160" s="15">
        <v>445.0</v>
      </c>
      <c r="I160" s="15" t="s">
        <v>29</v>
      </c>
      <c r="J160" s="16" t="s">
        <v>20</v>
      </c>
      <c r="K160" s="16"/>
      <c r="L160" s="16"/>
      <c r="M160" s="21"/>
    </row>
    <row r="161" ht="15.75" customHeight="1">
      <c r="A161" s="13" t="s">
        <v>82</v>
      </c>
      <c r="B161" s="18" t="s">
        <v>365</v>
      </c>
      <c r="C161" s="14" t="s">
        <v>366</v>
      </c>
      <c r="D161" s="14" t="s">
        <v>367</v>
      </c>
      <c r="E161" s="13" t="s">
        <v>368</v>
      </c>
      <c r="F161" s="13" t="s">
        <v>369</v>
      </c>
      <c r="G161" s="13" t="s">
        <v>370</v>
      </c>
      <c r="H161" s="15">
        <v>220.0</v>
      </c>
      <c r="I161" s="15" t="s">
        <v>29</v>
      </c>
      <c r="J161" s="16" t="s">
        <v>20</v>
      </c>
      <c r="K161" s="9"/>
      <c r="L161" s="9"/>
      <c r="M161" s="19"/>
    </row>
    <row r="162" ht="15.75" customHeight="1">
      <c r="A162" s="13" t="s">
        <v>82</v>
      </c>
      <c r="B162" s="14" t="s">
        <v>371</v>
      </c>
      <c r="C162" s="14" t="s">
        <v>371</v>
      </c>
      <c r="D162" s="14" t="s">
        <v>372</v>
      </c>
      <c r="E162" s="13" t="s">
        <v>373</v>
      </c>
      <c r="F162" s="13" t="s">
        <v>369</v>
      </c>
      <c r="G162" s="13" t="s">
        <v>370</v>
      </c>
      <c r="H162" s="15">
        <v>30.0</v>
      </c>
      <c r="I162" s="15" t="s">
        <v>19</v>
      </c>
      <c r="J162" s="16" t="s">
        <v>22</v>
      </c>
      <c r="K162" s="9"/>
      <c r="L162" s="9"/>
      <c r="M162" s="19"/>
    </row>
    <row r="163" ht="15.75" customHeight="1">
      <c r="A163" s="13" t="s">
        <v>82</v>
      </c>
      <c r="B163" s="14" t="s">
        <v>371</v>
      </c>
      <c r="C163" s="14" t="s">
        <v>371</v>
      </c>
      <c r="D163" s="14" t="s">
        <v>372</v>
      </c>
      <c r="E163" s="13" t="s">
        <v>373</v>
      </c>
      <c r="F163" s="13" t="s">
        <v>369</v>
      </c>
      <c r="G163" s="13" t="s">
        <v>370</v>
      </c>
      <c r="H163" s="15">
        <v>50.0</v>
      </c>
      <c r="I163" s="16" t="s">
        <v>19</v>
      </c>
      <c r="J163" s="16" t="s">
        <v>20</v>
      </c>
      <c r="K163" s="16"/>
      <c r="L163" s="16"/>
      <c r="M163" s="19"/>
    </row>
    <row r="164" ht="15.75" customHeight="1">
      <c r="A164" s="6" t="s">
        <v>82</v>
      </c>
      <c r="B164" s="8" t="s">
        <v>374</v>
      </c>
      <c r="C164" s="8" t="s">
        <v>374</v>
      </c>
      <c r="D164" s="8" t="s">
        <v>375</v>
      </c>
      <c r="E164" s="6"/>
      <c r="F164" s="6" t="s">
        <v>369</v>
      </c>
      <c r="G164" s="6" t="s">
        <v>370</v>
      </c>
      <c r="H164" s="9"/>
      <c r="I164" s="10" t="s">
        <v>19</v>
      </c>
      <c r="J164" s="10" t="s">
        <v>20</v>
      </c>
      <c r="K164" s="10">
        <v>30.0</v>
      </c>
      <c r="L164" s="10"/>
      <c r="M164" s="12" t="s">
        <v>21</v>
      </c>
    </row>
    <row r="165" ht="15.75" customHeight="1">
      <c r="A165" s="13" t="s">
        <v>14</v>
      </c>
      <c r="B165" s="14" t="s">
        <v>376</v>
      </c>
      <c r="C165" s="14" t="s">
        <v>376</v>
      </c>
      <c r="D165" s="14" t="s">
        <v>377</v>
      </c>
      <c r="E165" s="13" t="s">
        <v>378</v>
      </c>
      <c r="F165" s="13" t="s">
        <v>379</v>
      </c>
      <c r="G165" s="13" t="s">
        <v>380</v>
      </c>
      <c r="H165" s="15">
        <v>50.0</v>
      </c>
      <c r="I165" s="15" t="s">
        <v>29</v>
      </c>
      <c r="J165" s="16" t="s">
        <v>22</v>
      </c>
      <c r="K165" s="16"/>
      <c r="L165" s="16"/>
      <c r="M165" s="19"/>
    </row>
    <row r="166" ht="15.75" customHeight="1">
      <c r="A166" s="23" t="s">
        <v>14</v>
      </c>
      <c r="B166" s="24" t="s">
        <v>381</v>
      </c>
      <c r="C166" s="26" t="s">
        <v>381</v>
      </c>
      <c r="D166" s="25" t="s">
        <v>382</v>
      </c>
      <c r="E166" s="13" t="s">
        <v>383</v>
      </c>
      <c r="F166" s="13" t="s">
        <v>379</v>
      </c>
      <c r="G166" s="13" t="s">
        <v>380</v>
      </c>
      <c r="H166" s="15">
        <f>40+20+40</f>
        <v>100</v>
      </c>
      <c r="I166" s="15" t="s">
        <v>29</v>
      </c>
      <c r="J166" s="16" t="s">
        <v>22</v>
      </c>
      <c r="K166" s="9"/>
      <c r="L166" s="9"/>
      <c r="M166" s="19"/>
    </row>
    <row r="167" ht="15.75" customHeight="1">
      <c r="A167" s="23" t="s">
        <v>14</v>
      </c>
      <c r="B167" s="24" t="s">
        <v>381</v>
      </c>
      <c r="C167" s="26" t="s">
        <v>381</v>
      </c>
      <c r="D167" s="25" t="s">
        <v>382</v>
      </c>
      <c r="E167" s="13" t="s">
        <v>383</v>
      </c>
      <c r="F167" s="13" t="s">
        <v>379</v>
      </c>
      <c r="G167" s="13" t="s">
        <v>380</v>
      </c>
      <c r="H167" s="15">
        <f>50+20+30</f>
        <v>100</v>
      </c>
      <c r="I167" s="15" t="s">
        <v>29</v>
      </c>
      <c r="J167" s="16" t="s">
        <v>20</v>
      </c>
      <c r="K167" s="16"/>
      <c r="L167" s="16"/>
      <c r="M167" s="19"/>
    </row>
    <row r="168" ht="15.75" customHeight="1">
      <c r="A168" s="13" t="s">
        <v>14</v>
      </c>
      <c r="B168" s="20" t="s">
        <v>384</v>
      </c>
      <c r="C168" s="14" t="s">
        <v>384</v>
      </c>
      <c r="D168" s="14" t="s">
        <v>385</v>
      </c>
      <c r="E168" s="13" t="s">
        <v>386</v>
      </c>
      <c r="F168" s="13" t="s">
        <v>379</v>
      </c>
      <c r="G168" s="13" t="s">
        <v>380</v>
      </c>
      <c r="H168" s="15">
        <v>60.0</v>
      </c>
      <c r="I168" s="15" t="s">
        <v>29</v>
      </c>
      <c r="J168" s="16" t="s">
        <v>22</v>
      </c>
      <c r="K168" s="16"/>
      <c r="L168" s="16"/>
      <c r="M168" s="19"/>
    </row>
    <row r="169" ht="15.75" customHeight="1">
      <c r="A169" s="13" t="s">
        <v>14</v>
      </c>
      <c r="B169" s="20" t="s">
        <v>384</v>
      </c>
      <c r="C169" s="14" t="s">
        <v>384</v>
      </c>
      <c r="D169" s="14" t="s">
        <v>385</v>
      </c>
      <c r="E169" s="13" t="s">
        <v>386</v>
      </c>
      <c r="F169" s="13" t="s">
        <v>379</v>
      </c>
      <c r="G169" s="13" t="s">
        <v>380</v>
      </c>
      <c r="H169" s="15">
        <v>60.0</v>
      </c>
      <c r="I169" s="15" t="s">
        <v>29</v>
      </c>
      <c r="J169" s="16" t="s">
        <v>20</v>
      </c>
      <c r="K169" s="16"/>
      <c r="L169" s="16"/>
      <c r="M169" s="19"/>
    </row>
    <row r="170" ht="15.75" customHeight="1">
      <c r="A170" s="6" t="s">
        <v>14</v>
      </c>
      <c r="B170" s="7" t="s">
        <v>387</v>
      </c>
      <c r="C170" s="8" t="s">
        <v>388</v>
      </c>
      <c r="D170" s="8" t="s">
        <v>389</v>
      </c>
      <c r="E170" s="6" t="s">
        <v>390</v>
      </c>
      <c r="F170" s="6" t="s">
        <v>379</v>
      </c>
      <c r="G170" s="6" t="s">
        <v>380</v>
      </c>
      <c r="H170" s="9"/>
      <c r="I170" s="10" t="s">
        <v>19</v>
      </c>
      <c r="J170" s="10" t="s">
        <v>20</v>
      </c>
      <c r="K170" s="10">
        <v>70.0</v>
      </c>
      <c r="L170" s="10"/>
      <c r="M170" s="12" t="s">
        <v>21</v>
      </c>
    </row>
    <row r="171" ht="15.75" customHeight="1">
      <c r="A171" s="6" t="s">
        <v>14</v>
      </c>
      <c r="B171" s="7" t="s">
        <v>387</v>
      </c>
      <c r="C171" s="8" t="s">
        <v>391</v>
      </c>
      <c r="D171" s="8" t="s">
        <v>392</v>
      </c>
      <c r="E171" s="6" t="s">
        <v>393</v>
      </c>
      <c r="F171" s="6" t="s">
        <v>379</v>
      </c>
      <c r="G171" s="6" t="s">
        <v>380</v>
      </c>
      <c r="H171" s="9"/>
      <c r="I171" s="10" t="s">
        <v>19</v>
      </c>
      <c r="J171" s="10" t="s">
        <v>20</v>
      </c>
      <c r="K171" s="10">
        <v>70.0</v>
      </c>
      <c r="L171" s="10"/>
      <c r="M171" s="12" t="s">
        <v>21</v>
      </c>
    </row>
    <row r="172" ht="15.75" customHeight="1">
      <c r="A172" s="6" t="s">
        <v>14</v>
      </c>
      <c r="B172" s="7" t="s">
        <v>387</v>
      </c>
      <c r="C172" s="8" t="s">
        <v>394</v>
      </c>
      <c r="D172" s="8" t="s">
        <v>395</v>
      </c>
      <c r="E172" s="6" t="s">
        <v>396</v>
      </c>
      <c r="F172" s="6" t="s">
        <v>379</v>
      </c>
      <c r="G172" s="6" t="s">
        <v>380</v>
      </c>
      <c r="H172" s="9"/>
      <c r="I172" s="10" t="s">
        <v>19</v>
      </c>
      <c r="J172" s="10" t="s">
        <v>20</v>
      </c>
      <c r="K172" s="10">
        <v>90.0</v>
      </c>
      <c r="L172" s="10"/>
      <c r="M172" s="12" t="s">
        <v>21</v>
      </c>
    </row>
    <row r="173" ht="15.75" customHeight="1">
      <c r="A173" s="6" t="s">
        <v>14</v>
      </c>
      <c r="B173" s="7" t="s">
        <v>387</v>
      </c>
      <c r="C173" s="8" t="s">
        <v>397</v>
      </c>
      <c r="D173" s="8" t="s">
        <v>398</v>
      </c>
      <c r="E173" s="6" t="s">
        <v>399</v>
      </c>
      <c r="F173" s="6" t="s">
        <v>379</v>
      </c>
      <c r="G173" s="6" t="s">
        <v>380</v>
      </c>
      <c r="H173" s="9"/>
      <c r="I173" s="10" t="s">
        <v>19</v>
      </c>
      <c r="J173" s="10" t="s">
        <v>20</v>
      </c>
      <c r="K173" s="10">
        <v>70.0</v>
      </c>
      <c r="L173" s="10"/>
      <c r="M173" s="12" t="s">
        <v>21</v>
      </c>
    </row>
    <row r="174" ht="15.75" customHeight="1">
      <c r="A174" s="6" t="s">
        <v>14</v>
      </c>
      <c r="B174" s="7" t="s">
        <v>387</v>
      </c>
      <c r="C174" s="8" t="s">
        <v>400</v>
      </c>
      <c r="D174" s="8" t="s">
        <v>401</v>
      </c>
      <c r="E174" s="6" t="s">
        <v>402</v>
      </c>
      <c r="F174" s="6" t="s">
        <v>379</v>
      </c>
      <c r="G174" s="6" t="s">
        <v>380</v>
      </c>
      <c r="H174" s="9"/>
      <c r="I174" s="10" t="s">
        <v>19</v>
      </c>
      <c r="J174" s="10" t="s">
        <v>20</v>
      </c>
      <c r="K174" s="10">
        <v>80.0</v>
      </c>
      <c r="L174" s="10"/>
      <c r="M174" s="12" t="s">
        <v>21</v>
      </c>
    </row>
    <row r="175" ht="15.75" customHeight="1">
      <c r="A175" s="6" t="s">
        <v>14</v>
      </c>
      <c r="B175" s="7" t="s">
        <v>387</v>
      </c>
      <c r="C175" s="8" t="s">
        <v>403</v>
      </c>
      <c r="D175" s="8" t="s">
        <v>404</v>
      </c>
      <c r="E175" s="6" t="s">
        <v>405</v>
      </c>
      <c r="F175" s="6" t="s">
        <v>379</v>
      </c>
      <c r="G175" s="6" t="s">
        <v>380</v>
      </c>
      <c r="H175" s="9"/>
      <c r="I175" s="10" t="s">
        <v>19</v>
      </c>
      <c r="J175" s="10" t="s">
        <v>20</v>
      </c>
      <c r="K175" s="10">
        <v>40.0</v>
      </c>
      <c r="L175" s="10"/>
      <c r="M175" s="12" t="s">
        <v>21</v>
      </c>
    </row>
    <row r="176" ht="15.75" customHeight="1">
      <c r="A176" s="13" t="s">
        <v>14</v>
      </c>
      <c r="B176" s="18" t="s">
        <v>387</v>
      </c>
      <c r="C176" s="14" t="s">
        <v>387</v>
      </c>
      <c r="D176" s="14" t="s">
        <v>406</v>
      </c>
      <c r="E176" s="13" t="s">
        <v>407</v>
      </c>
      <c r="F176" s="13" t="s">
        <v>379</v>
      </c>
      <c r="G176" s="13" t="s">
        <v>380</v>
      </c>
      <c r="H176" s="15">
        <v>30.0</v>
      </c>
      <c r="I176" s="15" t="s">
        <v>19</v>
      </c>
      <c r="J176" s="16" t="s">
        <v>22</v>
      </c>
      <c r="K176" s="16"/>
      <c r="L176" s="16"/>
      <c r="M176" s="19"/>
    </row>
    <row r="177" ht="15.75" customHeight="1">
      <c r="A177" s="13" t="s">
        <v>14</v>
      </c>
      <c r="B177" s="20" t="s">
        <v>387</v>
      </c>
      <c r="C177" s="14" t="s">
        <v>387</v>
      </c>
      <c r="D177" s="14" t="s">
        <v>406</v>
      </c>
      <c r="E177" s="13" t="s">
        <v>407</v>
      </c>
      <c r="F177" s="13" t="s">
        <v>379</v>
      </c>
      <c r="G177" s="13" t="s">
        <v>380</v>
      </c>
      <c r="H177" s="15">
        <v>50.0</v>
      </c>
      <c r="I177" s="16" t="s">
        <v>19</v>
      </c>
      <c r="J177" s="16" t="s">
        <v>20</v>
      </c>
      <c r="K177" s="16"/>
      <c r="L177" s="16"/>
      <c r="M177" s="21"/>
    </row>
    <row r="178" ht="15.75" customHeight="1">
      <c r="A178" s="6" t="s">
        <v>14</v>
      </c>
      <c r="B178" s="7" t="s">
        <v>387</v>
      </c>
      <c r="C178" s="8" t="s">
        <v>408</v>
      </c>
      <c r="D178" s="8" t="s">
        <v>409</v>
      </c>
      <c r="E178" s="6" t="s">
        <v>410</v>
      </c>
      <c r="F178" s="6" t="s">
        <v>379</v>
      </c>
      <c r="G178" s="6" t="s">
        <v>380</v>
      </c>
      <c r="H178" s="9"/>
      <c r="I178" s="10" t="s">
        <v>19</v>
      </c>
      <c r="J178" s="10" t="s">
        <v>20</v>
      </c>
      <c r="K178" s="11">
        <v>50.0</v>
      </c>
      <c r="L178" s="10"/>
      <c r="M178" s="12" t="s">
        <v>21</v>
      </c>
    </row>
    <row r="179" ht="15.75" customHeight="1">
      <c r="A179" s="13" t="s">
        <v>14</v>
      </c>
      <c r="B179" s="18" t="s">
        <v>411</v>
      </c>
      <c r="C179" s="9" t="s">
        <v>411</v>
      </c>
      <c r="D179" s="14" t="s">
        <v>412</v>
      </c>
      <c r="E179" s="13" t="s">
        <v>413</v>
      </c>
      <c r="F179" s="13" t="s">
        <v>379</v>
      </c>
      <c r="G179" s="13" t="s">
        <v>380</v>
      </c>
      <c r="H179" s="15">
        <v>390.0</v>
      </c>
      <c r="I179" s="15" t="s">
        <v>29</v>
      </c>
      <c r="J179" s="16" t="s">
        <v>20</v>
      </c>
      <c r="K179" s="16"/>
      <c r="L179" s="16"/>
      <c r="M179" s="19"/>
    </row>
    <row r="180" ht="15.75" customHeight="1">
      <c r="A180" s="13" t="s">
        <v>14</v>
      </c>
      <c r="B180" s="18" t="s">
        <v>414</v>
      </c>
      <c r="C180" s="14" t="s">
        <v>414</v>
      </c>
      <c r="D180" s="14" t="s">
        <v>415</v>
      </c>
      <c r="E180" s="13"/>
      <c r="F180" s="13" t="s">
        <v>379</v>
      </c>
      <c r="G180" s="13" t="s">
        <v>416</v>
      </c>
      <c r="H180" s="15">
        <v>80.0</v>
      </c>
      <c r="I180" s="15" t="s">
        <v>29</v>
      </c>
      <c r="J180" s="16" t="s">
        <v>22</v>
      </c>
      <c r="K180" s="16"/>
      <c r="L180" s="16"/>
      <c r="M180" s="19"/>
    </row>
    <row r="181" ht="15.75" customHeight="1">
      <c r="A181" s="13" t="s">
        <v>14</v>
      </c>
      <c r="B181" s="18" t="s">
        <v>414</v>
      </c>
      <c r="C181" s="14" t="s">
        <v>414</v>
      </c>
      <c r="D181" s="14" t="s">
        <v>415</v>
      </c>
      <c r="E181" s="13"/>
      <c r="F181" s="13" t="s">
        <v>379</v>
      </c>
      <c r="G181" s="13" t="s">
        <v>416</v>
      </c>
      <c r="H181" s="15">
        <v>80.0</v>
      </c>
      <c r="I181" s="15" t="s">
        <v>29</v>
      </c>
      <c r="J181" s="16" t="s">
        <v>20</v>
      </c>
      <c r="K181" s="16"/>
      <c r="L181" s="16"/>
      <c r="M181" s="19"/>
    </row>
    <row r="182" ht="15.75" customHeight="1">
      <c r="A182" s="6" t="s">
        <v>23</v>
      </c>
      <c r="B182" s="7" t="s">
        <v>232</v>
      </c>
      <c r="C182" s="8" t="s">
        <v>417</v>
      </c>
      <c r="D182" s="8" t="s">
        <v>418</v>
      </c>
      <c r="E182" s="6" t="s">
        <v>419</v>
      </c>
      <c r="F182" s="6" t="s">
        <v>420</v>
      </c>
      <c r="G182" s="6" t="s">
        <v>421</v>
      </c>
      <c r="H182" s="9"/>
      <c r="I182" s="10" t="s">
        <v>19</v>
      </c>
      <c r="J182" s="10" t="s">
        <v>20</v>
      </c>
      <c r="K182" s="10">
        <v>50.0</v>
      </c>
      <c r="L182" s="10"/>
      <c r="M182" s="12" t="s">
        <v>21</v>
      </c>
    </row>
    <row r="183" ht="15.75" customHeight="1">
      <c r="A183" s="13" t="s">
        <v>23</v>
      </c>
      <c r="B183" s="20" t="s">
        <v>232</v>
      </c>
      <c r="C183" s="14" t="s">
        <v>232</v>
      </c>
      <c r="D183" s="14" t="s">
        <v>422</v>
      </c>
      <c r="E183" s="13" t="s">
        <v>423</v>
      </c>
      <c r="F183" s="13" t="s">
        <v>420</v>
      </c>
      <c r="G183" s="13" t="s">
        <v>421</v>
      </c>
      <c r="H183" s="15">
        <v>30.0</v>
      </c>
      <c r="I183" s="15" t="s">
        <v>19</v>
      </c>
      <c r="J183" s="16" t="s">
        <v>22</v>
      </c>
      <c r="K183" s="9"/>
      <c r="L183" s="9"/>
      <c r="M183" s="9"/>
    </row>
    <row r="184" ht="15.75" customHeight="1">
      <c r="A184" s="13" t="s">
        <v>23</v>
      </c>
      <c r="B184" s="20" t="s">
        <v>232</v>
      </c>
      <c r="C184" s="14" t="s">
        <v>232</v>
      </c>
      <c r="D184" s="14" t="s">
        <v>422</v>
      </c>
      <c r="E184" s="13" t="s">
        <v>423</v>
      </c>
      <c r="F184" s="13" t="s">
        <v>420</v>
      </c>
      <c r="G184" s="13" t="s">
        <v>421</v>
      </c>
      <c r="H184" s="15">
        <v>50.0</v>
      </c>
      <c r="I184" s="16" t="s">
        <v>19</v>
      </c>
      <c r="J184" s="16" t="s">
        <v>20</v>
      </c>
      <c r="K184" s="16"/>
      <c r="L184" s="16"/>
      <c r="M184" s="9"/>
    </row>
    <row r="185" ht="15.75" customHeight="1">
      <c r="A185" s="13" t="s">
        <v>14</v>
      </c>
      <c r="B185" s="18" t="s">
        <v>424</v>
      </c>
      <c r="C185" s="14" t="s">
        <v>424</v>
      </c>
      <c r="D185" s="14" t="s">
        <v>425</v>
      </c>
      <c r="E185" s="13" t="s">
        <v>426</v>
      </c>
      <c r="F185" s="13" t="s">
        <v>427</v>
      </c>
      <c r="G185" s="13" t="s">
        <v>428</v>
      </c>
      <c r="H185" s="15">
        <v>45.0</v>
      </c>
      <c r="I185" s="15" t="s">
        <v>29</v>
      </c>
      <c r="J185" s="16" t="s">
        <v>20</v>
      </c>
      <c r="K185" s="16"/>
      <c r="L185" s="16"/>
      <c r="M185" s="19"/>
    </row>
    <row r="186" ht="15.75" customHeight="1">
      <c r="A186" s="13" t="s">
        <v>184</v>
      </c>
      <c r="B186" s="18" t="s">
        <v>429</v>
      </c>
      <c r="C186" s="9" t="s">
        <v>429</v>
      </c>
      <c r="D186" s="14" t="s">
        <v>430</v>
      </c>
      <c r="E186" s="13" t="s">
        <v>431</v>
      </c>
      <c r="F186" s="13" t="s">
        <v>427</v>
      </c>
      <c r="G186" s="13" t="s">
        <v>432</v>
      </c>
      <c r="H186" s="15">
        <f>14+16</f>
        <v>30</v>
      </c>
      <c r="I186" s="15" t="s">
        <v>29</v>
      </c>
      <c r="J186" s="16" t="s">
        <v>22</v>
      </c>
      <c r="K186" s="16"/>
      <c r="L186" s="16"/>
      <c r="M186" s="19"/>
    </row>
    <row r="187" ht="15.75" customHeight="1">
      <c r="A187" s="13" t="s">
        <v>184</v>
      </c>
      <c r="B187" s="18" t="s">
        <v>429</v>
      </c>
      <c r="C187" s="9" t="s">
        <v>429</v>
      </c>
      <c r="D187" s="14" t="s">
        <v>430</v>
      </c>
      <c r="E187" s="13" t="s">
        <v>431</v>
      </c>
      <c r="F187" s="13" t="s">
        <v>427</v>
      </c>
      <c r="G187" s="13" t="s">
        <v>432</v>
      </c>
      <c r="H187" s="15">
        <f>20+15</f>
        <v>35</v>
      </c>
      <c r="I187" s="15" t="s">
        <v>29</v>
      </c>
      <c r="J187" s="16" t="s">
        <v>20</v>
      </c>
      <c r="K187" s="16"/>
      <c r="L187" s="16"/>
      <c r="M187" s="19"/>
    </row>
    <row r="188" ht="15.75" customHeight="1">
      <c r="A188" s="13" t="s">
        <v>14</v>
      </c>
      <c r="B188" s="18" t="s">
        <v>433</v>
      </c>
      <c r="C188" s="9" t="s">
        <v>434</v>
      </c>
      <c r="D188" s="14" t="s">
        <v>435</v>
      </c>
      <c r="E188" s="13" t="s">
        <v>436</v>
      </c>
      <c r="F188" s="13" t="s">
        <v>427</v>
      </c>
      <c r="G188" s="13" t="s">
        <v>437</v>
      </c>
      <c r="H188" s="15">
        <f>10+20</f>
        <v>30</v>
      </c>
      <c r="I188" s="15" t="s">
        <v>29</v>
      </c>
      <c r="J188" s="16" t="s">
        <v>22</v>
      </c>
      <c r="K188" s="16"/>
      <c r="L188" s="16"/>
      <c r="M188" s="19"/>
    </row>
    <row r="189" ht="15.75" customHeight="1">
      <c r="A189" s="13" t="s">
        <v>14</v>
      </c>
      <c r="B189" s="18" t="s">
        <v>433</v>
      </c>
      <c r="C189" s="9" t="s">
        <v>434</v>
      </c>
      <c r="D189" s="14" t="s">
        <v>435</v>
      </c>
      <c r="E189" s="13" t="s">
        <v>436</v>
      </c>
      <c r="F189" s="13" t="s">
        <v>427</v>
      </c>
      <c r="G189" s="13" t="s">
        <v>437</v>
      </c>
      <c r="H189" s="15">
        <v>80.0</v>
      </c>
      <c r="I189" s="15" t="s">
        <v>29</v>
      </c>
      <c r="J189" s="16" t="s">
        <v>20</v>
      </c>
      <c r="K189" s="16"/>
      <c r="L189" s="16"/>
      <c r="M189" s="19"/>
    </row>
    <row r="190" ht="15.75" customHeight="1">
      <c r="A190" s="6" t="s">
        <v>14</v>
      </c>
      <c r="B190" s="7" t="s">
        <v>438</v>
      </c>
      <c r="C190" s="8" t="s">
        <v>438</v>
      </c>
      <c r="D190" s="8" t="s">
        <v>439</v>
      </c>
      <c r="E190" s="6" t="s">
        <v>440</v>
      </c>
      <c r="F190" s="6" t="s">
        <v>441</v>
      </c>
      <c r="G190" s="6" t="s">
        <v>442</v>
      </c>
      <c r="H190" s="9"/>
      <c r="I190" s="10" t="s">
        <v>19</v>
      </c>
      <c r="J190" s="10" t="s">
        <v>20</v>
      </c>
      <c r="K190" s="10">
        <v>80.0</v>
      </c>
      <c r="L190" s="10"/>
      <c r="M190" s="12" t="s">
        <v>21</v>
      </c>
    </row>
    <row r="191" ht="15.75" customHeight="1">
      <c r="A191" s="6" t="s">
        <v>14</v>
      </c>
      <c r="B191" s="17" t="s">
        <v>438</v>
      </c>
      <c r="C191" s="8" t="s">
        <v>438</v>
      </c>
      <c r="D191" s="8" t="s">
        <v>439</v>
      </c>
      <c r="E191" s="6" t="s">
        <v>440</v>
      </c>
      <c r="F191" s="6" t="s">
        <v>441</v>
      </c>
      <c r="G191" s="6" t="s">
        <v>442</v>
      </c>
      <c r="H191" s="9"/>
      <c r="I191" s="11" t="s">
        <v>19</v>
      </c>
      <c r="J191" s="10" t="s">
        <v>22</v>
      </c>
      <c r="K191" s="10">
        <v>85.0</v>
      </c>
      <c r="L191" s="10"/>
      <c r="M191" s="12" t="s">
        <v>21</v>
      </c>
    </row>
    <row r="192" ht="15.75" customHeight="1">
      <c r="A192" s="13" t="s">
        <v>14</v>
      </c>
      <c r="B192" s="18" t="s">
        <v>438</v>
      </c>
      <c r="C192" s="14" t="s">
        <v>443</v>
      </c>
      <c r="D192" s="14" t="s">
        <v>444</v>
      </c>
      <c r="E192" s="13" t="s">
        <v>445</v>
      </c>
      <c r="F192" s="13" t="s">
        <v>441</v>
      </c>
      <c r="G192" s="13" t="s">
        <v>442</v>
      </c>
      <c r="H192" s="15">
        <v>50.0</v>
      </c>
      <c r="I192" s="16" t="s">
        <v>19</v>
      </c>
      <c r="J192" s="16" t="s">
        <v>20</v>
      </c>
      <c r="K192" s="16"/>
      <c r="L192" s="16"/>
      <c r="M192" s="19"/>
    </row>
    <row r="193" ht="15.75" customHeight="1">
      <c r="A193" s="13" t="s">
        <v>14</v>
      </c>
      <c r="B193" s="18" t="s">
        <v>438</v>
      </c>
      <c r="C193" s="14" t="s">
        <v>443</v>
      </c>
      <c r="D193" s="14" t="s">
        <v>444</v>
      </c>
      <c r="E193" s="13" t="s">
        <v>445</v>
      </c>
      <c r="F193" s="13" t="s">
        <v>441</v>
      </c>
      <c r="G193" s="13" t="s">
        <v>442</v>
      </c>
      <c r="H193" s="15">
        <v>25.0</v>
      </c>
      <c r="I193" s="15" t="s">
        <v>19</v>
      </c>
      <c r="J193" s="16" t="s">
        <v>22</v>
      </c>
      <c r="K193" s="16"/>
      <c r="L193" s="16"/>
      <c r="M193" s="19"/>
    </row>
    <row r="194" ht="15.75" customHeight="1">
      <c r="A194" s="23" t="s">
        <v>14</v>
      </c>
      <c r="B194" s="24" t="s">
        <v>446</v>
      </c>
      <c r="C194" s="25" t="s">
        <v>446</v>
      </c>
      <c r="D194" s="25" t="s">
        <v>447</v>
      </c>
      <c r="E194" s="13" t="s">
        <v>448</v>
      </c>
      <c r="F194" s="13" t="s">
        <v>441</v>
      </c>
      <c r="G194" s="13" t="s">
        <v>442</v>
      </c>
      <c r="H194" s="15">
        <f>90+20</f>
        <v>110</v>
      </c>
      <c r="I194" s="15" t="s">
        <v>29</v>
      </c>
      <c r="J194" s="16" t="s">
        <v>20</v>
      </c>
      <c r="K194" s="16"/>
      <c r="L194" s="16"/>
      <c r="M194" s="19"/>
    </row>
    <row r="195" ht="15.75" customHeight="1">
      <c r="A195" s="23" t="s">
        <v>14</v>
      </c>
      <c r="B195" s="24" t="s">
        <v>446</v>
      </c>
      <c r="C195" s="25" t="s">
        <v>446</v>
      </c>
      <c r="D195" s="25" t="s">
        <v>447</v>
      </c>
      <c r="E195" s="13" t="s">
        <v>448</v>
      </c>
      <c r="F195" s="13" t="s">
        <v>441</v>
      </c>
      <c r="G195" s="13" t="s">
        <v>442</v>
      </c>
      <c r="H195" s="15">
        <v>330.0</v>
      </c>
      <c r="I195" s="15" t="s">
        <v>29</v>
      </c>
      <c r="J195" s="16" t="s">
        <v>22</v>
      </c>
      <c r="K195" s="16"/>
      <c r="L195" s="16"/>
      <c r="M195" s="19"/>
    </row>
    <row r="196" ht="15.75" customHeight="1">
      <c r="A196" s="23" t="s">
        <v>14</v>
      </c>
      <c r="B196" s="24" t="s">
        <v>446</v>
      </c>
      <c r="C196" s="25" t="s">
        <v>449</v>
      </c>
      <c r="D196" s="25" t="s">
        <v>264</v>
      </c>
      <c r="E196" s="13" t="s">
        <v>450</v>
      </c>
      <c r="F196" s="13" t="s">
        <v>441</v>
      </c>
      <c r="G196" s="13" t="s">
        <v>442</v>
      </c>
      <c r="H196" s="15">
        <v>80.0</v>
      </c>
      <c r="I196" s="15" t="s">
        <v>29</v>
      </c>
      <c r="J196" s="16" t="s">
        <v>22</v>
      </c>
      <c r="K196" s="16"/>
      <c r="L196" s="16"/>
      <c r="M196" s="19"/>
    </row>
    <row r="197" ht="15.75" customHeight="1">
      <c r="A197" s="13" t="s">
        <v>14</v>
      </c>
      <c r="B197" s="14" t="s">
        <v>451</v>
      </c>
      <c r="C197" s="14" t="s">
        <v>451</v>
      </c>
      <c r="D197" s="14" t="s">
        <v>264</v>
      </c>
      <c r="E197" s="13" t="s">
        <v>452</v>
      </c>
      <c r="F197" s="13" t="s">
        <v>441</v>
      </c>
      <c r="G197" s="13" t="s">
        <v>442</v>
      </c>
      <c r="H197" s="15">
        <v>20.0</v>
      </c>
      <c r="I197" s="15" t="s">
        <v>19</v>
      </c>
      <c r="J197" s="16" t="s">
        <v>22</v>
      </c>
      <c r="K197" s="16"/>
      <c r="L197" s="16"/>
      <c r="M197" s="19"/>
    </row>
    <row r="198" ht="15.75" customHeight="1">
      <c r="A198" s="13" t="s">
        <v>14</v>
      </c>
      <c r="B198" s="14" t="s">
        <v>453</v>
      </c>
      <c r="C198" s="14" t="s">
        <v>453</v>
      </c>
      <c r="D198" s="14" t="s">
        <v>264</v>
      </c>
      <c r="E198" s="13" t="s">
        <v>454</v>
      </c>
      <c r="F198" s="13" t="s">
        <v>441</v>
      </c>
      <c r="G198" s="13" t="s">
        <v>442</v>
      </c>
      <c r="H198" s="15">
        <v>20.0</v>
      </c>
      <c r="I198" s="15" t="s">
        <v>19</v>
      </c>
      <c r="J198" s="16" t="s">
        <v>22</v>
      </c>
      <c r="K198" s="16"/>
      <c r="L198" s="16"/>
      <c r="M198" s="19"/>
    </row>
    <row r="199" ht="15.75" customHeight="1">
      <c r="A199" s="6" t="s">
        <v>14</v>
      </c>
      <c r="B199" s="8" t="s">
        <v>455</v>
      </c>
      <c r="C199" s="8" t="s">
        <v>455</v>
      </c>
      <c r="D199" s="8" t="s">
        <v>456</v>
      </c>
      <c r="E199" s="6"/>
      <c r="F199" s="6" t="s">
        <v>457</v>
      </c>
      <c r="G199" s="6" t="s">
        <v>458</v>
      </c>
      <c r="H199" s="9"/>
      <c r="I199" s="10" t="s">
        <v>19</v>
      </c>
      <c r="J199" s="10" t="s">
        <v>20</v>
      </c>
      <c r="K199" s="10">
        <v>60.0</v>
      </c>
      <c r="L199" s="10"/>
      <c r="M199" s="12" t="s">
        <v>21</v>
      </c>
    </row>
    <row r="200" ht="15.75" customHeight="1">
      <c r="A200" s="6" t="s">
        <v>14</v>
      </c>
      <c r="B200" s="8" t="s">
        <v>455</v>
      </c>
      <c r="C200" s="8" t="s">
        <v>455</v>
      </c>
      <c r="D200" s="8" t="s">
        <v>456</v>
      </c>
      <c r="E200" s="6"/>
      <c r="F200" s="6" t="s">
        <v>457</v>
      </c>
      <c r="G200" s="6" t="s">
        <v>458</v>
      </c>
      <c r="H200" s="9"/>
      <c r="I200" s="11" t="s">
        <v>19</v>
      </c>
      <c r="J200" s="10" t="s">
        <v>22</v>
      </c>
      <c r="K200" s="10">
        <v>60.0</v>
      </c>
      <c r="L200" s="10"/>
      <c r="M200" s="12" t="s">
        <v>21</v>
      </c>
    </row>
    <row r="201" ht="15.75" customHeight="1">
      <c r="A201" s="13" t="s">
        <v>14</v>
      </c>
      <c r="B201" s="14" t="s">
        <v>459</v>
      </c>
      <c r="C201" s="14" t="s">
        <v>459</v>
      </c>
      <c r="D201" s="14" t="s">
        <v>460</v>
      </c>
      <c r="E201" s="13"/>
      <c r="F201" s="13" t="s">
        <v>457</v>
      </c>
      <c r="G201" s="13" t="s">
        <v>458</v>
      </c>
      <c r="H201" s="15">
        <v>40.0</v>
      </c>
      <c r="I201" s="16" t="s">
        <v>19</v>
      </c>
      <c r="J201" s="16" t="s">
        <v>20</v>
      </c>
      <c r="K201" s="16"/>
      <c r="L201" s="16"/>
      <c r="M201" s="19"/>
    </row>
    <row r="202" ht="15.75" customHeight="1">
      <c r="A202" s="13" t="s">
        <v>14</v>
      </c>
      <c r="B202" s="14" t="s">
        <v>459</v>
      </c>
      <c r="C202" s="14" t="s">
        <v>459</v>
      </c>
      <c r="D202" s="14" t="s">
        <v>460</v>
      </c>
      <c r="E202" s="13"/>
      <c r="F202" s="13" t="s">
        <v>457</v>
      </c>
      <c r="G202" s="13" t="s">
        <v>458</v>
      </c>
      <c r="H202" s="15">
        <f>50</f>
        <v>50</v>
      </c>
      <c r="I202" s="15" t="s">
        <v>19</v>
      </c>
      <c r="J202" s="16" t="s">
        <v>22</v>
      </c>
      <c r="K202" s="16"/>
      <c r="L202" s="16"/>
      <c r="M202" s="19"/>
    </row>
    <row r="203" ht="15.75" customHeight="1">
      <c r="A203" s="6" t="s">
        <v>14</v>
      </c>
      <c r="B203" s="8" t="s">
        <v>461</v>
      </c>
      <c r="C203" s="8" t="s">
        <v>461</v>
      </c>
      <c r="D203" s="8" t="s">
        <v>462</v>
      </c>
      <c r="E203" s="6"/>
      <c r="F203" s="6" t="s">
        <v>457</v>
      </c>
      <c r="G203" s="6" t="s">
        <v>458</v>
      </c>
      <c r="H203" s="9"/>
      <c r="I203" s="10" t="s">
        <v>19</v>
      </c>
      <c r="J203" s="10" t="s">
        <v>20</v>
      </c>
      <c r="K203" s="10">
        <v>30.0</v>
      </c>
      <c r="L203" s="10"/>
      <c r="M203" s="12" t="s">
        <v>21</v>
      </c>
    </row>
    <row r="204" ht="15.75" customHeight="1">
      <c r="A204" s="13" t="s">
        <v>82</v>
      </c>
      <c r="B204" s="18" t="s">
        <v>463</v>
      </c>
      <c r="C204" s="9" t="s">
        <v>463</v>
      </c>
      <c r="D204" s="14" t="s">
        <v>464</v>
      </c>
      <c r="E204" s="13" t="s">
        <v>465</v>
      </c>
      <c r="F204" s="13" t="s">
        <v>466</v>
      </c>
      <c r="G204" s="13" t="s">
        <v>467</v>
      </c>
      <c r="H204" s="15">
        <v>45.0</v>
      </c>
      <c r="I204" s="15" t="s">
        <v>19</v>
      </c>
      <c r="J204" s="16" t="s">
        <v>22</v>
      </c>
      <c r="K204" s="16"/>
      <c r="L204" s="16"/>
      <c r="M204" s="19"/>
    </row>
    <row r="205" ht="15.75" customHeight="1">
      <c r="A205" s="13" t="s">
        <v>82</v>
      </c>
      <c r="B205" s="18" t="s">
        <v>463</v>
      </c>
      <c r="C205" s="9" t="s">
        <v>463</v>
      </c>
      <c r="D205" s="14" t="s">
        <v>464</v>
      </c>
      <c r="E205" s="13" t="s">
        <v>465</v>
      </c>
      <c r="F205" s="13" t="s">
        <v>466</v>
      </c>
      <c r="G205" s="13" t="s">
        <v>467</v>
      </c>
      <c r="H205" s="15">
        <v>35.0</v>
      </c>
      <c r="I205" s="16" t="s">
        <v>19</v>
      </c>
      <c r="J205" s="16" t="s">
        <v>20</v>
      </c>
      <c r="K205" s="9"/>
      <c r="L205" s="9"/>
      <c r="M205" s="19"/>
    </row>
    <row r="206" ht="15.75" customHeight="1">
      <c r="A206" s="13" t="s">
        <v>82</v>
      </c>
      <c r="B206" s="18" t="s">
        <v>468</v>
      </c>
      <c r="C206" s="9" t="s">
        <v>468</v>
      </c>
      <c r="D206" s="14" t="s">
        <v>469</v>
      </c>
      <c r="E206" s="13" t="s">
        <v>470</v>
      </c>
      <c r="F206" s="13" t="s">
        <v>466</v>
      </c>
      <c r="G206" s="13" t="s">
        <v>467</v>
      </c>
      <c r="H206" s="15">
        <f>30-10+30</f>
        <v>50</v>
      </c>
      <c r="I206" s="15" t="s">
        <v>29</v>
      </c>
      <c r="J206" s="16" t="s">
        <v>22</v>
      </c>
      <c r="K206" s="9"/>
      <c r="L206" s="9"/>
      <c r="M206" s="19"/>
    </row>
    <row r="207" ht="15.75" customHeight="1">
      <c r="A207" s="13" t="s">
        <v>82</v>
      </c>
      <c r="B207" s="18" t="s">
        <v>468</v>
      </c>
      <c r="C207" s="9" t="s">
        <v>468</v>
      </c>
      <c r="D207" s="14" t="s">
        <v>469</v>
      </c>
      <c r="E207" s="13" t="s">
        <v>470</v>
      </c>
      <c r="F207" s="13" t="s">
        <v>466</v>
      </c>
      <c r="G207" s="13" t="s">
        <v>467</v>
      </c>
      <c r="H207" s="15">
        <f>30-10+40+30+20+40</f>
        <v>150</v>
      </c>
      <c r="I207" s="15" t="s">
        <v>29</v>
      </c>
      <c r="J207" s="16" t="s">
        <v>20</v>
      </c>
      <c r="K207" s="16"/>
      <c r="L207" s="16"/>
      <c r="M207" s="19"/>
    </row>
    <row r="208" ht="15.75" customHeight="1">
      <c r="A208" s="13" t="s">
        <v>82</v>
      </c>
      <c r="B208" s="18" t="s">
        <v>471</v>
      </c>
      <c r="C208" s="14" t="s">
        <v>471</v>
      </c>
      <c r="D208" s="14" t="s">
        <v>472</v>
      </c>
      <c r="E208" s="13" t="s">
        <v>473</v>
      </c>
      <c r="F208" s="13" t="s">
        <v>466</v>
      </c>
      <c r="G208" s="13" t="s">
        <v>467</v>
      </c>
      <c r="H208" s="15">
        <v>20.0</v>
      </c>
      <c r="I208" s="15" t="s">
        <v>19</v>
      </c>
      <c r="J208" s="16" t="s">
        <v>22</v>
      </c>
      <c r="K208" s="16"/>
      <c r="L208" s="16"/>
      <c r="M208" s="21"/>
    </row>
    <row r="209" ht="15.75" customHeight="1">
      <c r="A209" s="13" t="s">
        <v>82</v>
      </c>
      <c r="B209" s="20" t="s">
        <v>471</v>
      </c>
      <c r="C209" s="14" t="s">
        <v>471</v>
      </c>
      <c r="D209" s="14" t="s">
        <v>472</v>
      </c>
      <c r="E209" s="13" t="s">
        <v>473</v>
      </c>
      <c r="F209" s="13" t="s">
        <v>466</v>
      </c>
      <c r="G209" s="13" t="s">
        <v>467</v>
      </c>
      <c r="H209" s="15">
        <v>25.0</v>
      </c>
      <c r="I209" s="16" t="s">
        <v>19</v>
      </c>
      <c r="J209" s="16" t="s">
        <v>20</v>
      </c>
      <c r="K209" s="16"/>
      <c r="L209" s="16"/>
      <c r="M209" s="19"/>
    </row>
    <row r="210" ht="15.75" customHeight="1">
      <c r="A210" s="13" t="s">
        <v>73</v>
      </c>
      <c r="B210" s="18" t="s">
        <v>474</v>
      </c>
      <c r="C210" s="9" t="s">
        <v>474</v>
      </c>
      <c r="D210" s="14" t="s">
        <v>475</v>
      </c>
      <c r="E210" s="13" t="s">
        <v>476</v>
      </c>
      <c r="F210" s="13" t="s">
        <v>466</v>
      </c>
      <c r="G210" s="13" t="s">
        <v>467</v>
      </c>
      <c r="H210" s="15">
        <v>30.0</v>
      </c>
      <c r="I210" s="15" t="s">
        <v>29</v>
      </c>
      <c r="J210" s="16" t="s">
        <v>20</v>
      </c>
      <c r="K210" s="16"/>
      <c r="L210" s="16"/>
      <c r="M210" s="19"/>
    </row>
    <row r="211" ht="15.75" customHeight="1">
      <c r="A211" s="13" t="s">
        <v>73</v>
      </c>
      <c r="B211" s="18" t="s">
        <v>474</v>
      </c>
      <c r="C211" s="9" t="s">
        <v>474</v>
      </c>
      <c r="D211" s="14" t="s">
        <v>475</v>
      </c>
      <c r="E211" s="13" t="s">
        <v>476</v>
      </c>
      <c r="F211" s="13" t="s">
        <v>466</v>
      </c>
      <c r="G211" s="13" t="s">
        <v>467</v>
      </c>
      <c r="H211" s="15">
        <v>10.0</v>
      </c>
      <c r="I211" s="15" t="s">
        <v>29</v>
      </c>
      <c r="J211" s="16" t="s">
        <v>22</v>
      </c>
      <c r="K211" s="16"/>
      <c r="L211" s="16"/>
      <c r="M211" s="19"/>
    </row>
    <row r="212" ht="15.75" customHeight="1">
      <c r="A212" s="13" t="s">
        <v>82</v>
      </c>
      <c r="B212" s="18" t="s">
        <v>477</v>
      </c>
      <c r="C212" s="14" t="s">
        <v>478</v>
      </c>
      <c r="D212" s="14" t="s">
        <v>479</v>
      </c>
      <c r="E212" s="13" t="s">
        <v>480</v>
      </c>
      <c r="F212" s="13" t="s">
        <v>466</v>
      </c>
      <c r="G212" s="13" t="s">
        <v>467</v>
      </c>
      <c r="H212" s="15">
        <f>60-10</f>
        <v>50</v>
      </c>
      <c r="I212" s="15" t="s">
        <v>19</v>
      </c>
      <c r="J212" s="16" t="s">
        <v>22</v>
      </c>
      <c r="K212" s="16"/>
      <c r="L212" s="16"/>
      <c r="M212" s="19"/>
    </row>
    <row r="213" ht="15.75" customHeight="1">
      <c r="A213" s="13" t="s">
        <v>82</v>
      </c>
      <c r="B213" s="20" t="s">
        <v>477</v>
      </c>
      <c r="C213" s="14" t="s">
        <v>478</v>
      </c>
      <c r="D213" s="14" t="s">
        <v>479</v>
      </c>
      <c r="E213" s="13" t="s">
        <v>480</v>
      </c>
      <c r="F213" s="13" t="s">
        <v>466</v>
      </c>
      <c r="G213" s="13" t="s">
        <v>467</v>
      </c>
      <c r="H213" s="15">
        <f>50-10</f>
        <v>40</v>
      </c>
      <c r="I213" s="16" t="s">
        <v>19</v>
      </c>
      <c r="J213" s="16" t="s">
        <v>20</v>
      </c>
      <c r="K213" s="16"/>
      <c r="L213" s="16"/>
      <c r="M213" s="21"/>
    </row>
    <row r="214" ht="15.75" customHeight="1">
      <c r="A214" s="13" t="s">
        <v>73</v>
      </c>
      <c r="B214" s="18" t="s">
        <v>481</v>
      </c>
      <c r="C214" s="9" t="s">
        <v>481</v>
      </c>
      <c r="D214" s="14" t="s">
        <v>482</v>
      </c>
      <c r="E214" s="13" t="s">
        <v>483</v>
      </c>
      <c r="F214" s="13" t="s">
        <v>466</v>
      </c>
      <c r="G214" s="13" t="s">
        <v>484</v>
      </c>
      <c r="H214" s="15">
        <f>50+20</f>
        <v>70</v>
      </c>
      <c r="I214" s="15" t="s">
        <v>29</v>
      </c>
      <c r="J214" s="16" t="s">
        <v>20</v>
      </c>
      <c r="K214" s="16"/>
      <c r="L214" s="16"/>
      <c r="M214" s="19"/>
    </row>
    <row r="215" ht="15.75" customHeight="1">
      <c r="A215" s="13" t="s">
        <v>73</v>
      </c>
      <c r="B215" s="20" t="s">
        <v>485</v>
      </c>
      <c r="C215" s="14" t="s">
        <v>485</v>
      </c>
      <c r="D215" s="14" t="s">
        <v>486</v>
      </c>
      <c r="E215" s="13" t="s">
        <v>487</v>
      </c>
      <c r="F215" s="13" t="s">
        <v>466</v>
      </c>
      <c r="G215" s="13" t="s">
        <v>488</v>
      </c>
      <c r="H215" s="15">
        <v>40.0</v>
      </c>
      <c r="I215" s="15" t="s">
        <v>29</v>
      </c>
      <c r="J215" s="16" t="s">
        <v>20</v>
      </c>
      <c r="K215" s="16"/>
      <c r="L215" s="16"/>
      <c r="M215" s="19"/>
    </row>
    <row r="216" ht="15.75" customHeight="1">
      <c r="A216" s="13" t="s">
        <v>82</v>
      </c>
      <c r="B216" s="14" t="s">
        <v>489</v>
      </c>
      <c r="C216" s="14" t="s">
        <v>489</v>
      </c>
      <c r="D216" s="14" t="s">
        <v>264</v>
      </c>
      <c r="E216" s="13"/>
      <c r="F216" s="13" t="s">
        <v>466</v>
      </c>
      <c r="G216" s="13" t="s">
        <v>490</v>
      </c>
      <c r="H216" s="15">
        <v>50.0</v>
      </c>
      <c r="I216" s="15" t="s">
        <v>19</v>
      </c>
      <c r="J216" s="16" t="s">
        <v>22</v>
      </c>
      <c r="K216" s="9"/>
      <c r="L216" s="9"/>
      <c r="M216" s="19"/>
    </row>
    <row r="217" ht="15.75" customHeight="1">
      <c r="A217" s="13" t="s">
        <v>82</v>
      </c>
      <c r="B217" s="14" t="s">
        <v>489</v>
      </c>
      <c r="C217" s="14" t="s">
        <v>489</v>
      </c>
      <c r="D217" s="14" t="s">
        <v>264</v>
      </c>
      <c r="E217" s="13"/>
      <c r="F217" s="13" t="s">
        <v>466</v>
      </c>
      <c r="G217" s="13" t="s">
        <v>490</v>
      </c>
      <c r="H217" s="15">
        <v>40.0</v>
      </c>
      <c r="I217" s="16" t="s">
        <v>19</v>
      </c>
      <c r="J217" s="16" t="s">
        <v>20</v>
      </c>
      <c r="K217" s="16"/>
      <c r="L217" s="16"/>
      <c r="M217" s="19"/>
    </row>
    <row r="218" ht="15.75" customHeight="1">
      <c r="A218" s="6" t="s">
        <v>82</v>
      </c>
      <c r="B218" s="7" t="s">
        <v>491</v>
      </c>
      <c r="C218" s="8" t="s">
        <v>491</v>
      </c>
      <c r="D218" s="8" t="s">
        <v>492</v>
      </c>
      <c r="E218" s="6" t="s">
        <v>493</v>
      </c>
      <c r="F218" s="6" t="s">
        <v>466</v>
      </c>
      <c r="G218" s="6" t="s">
        <v>490</v>
      </c>
      <c r="H218" s="9"/>
      <c r="I218" s="10" t="s">
        <v>19</v>
      </c>
      <c r="J218" s="10" t="s">
        <v>20</v>
      </c>
      <c r="K218" s="10">
        <v>50.0</v>
      </c>
      <c r="L218" s="10"/>
      <c r="M218" s="12" t="s">
        <v>21</v>
      </c>
    </row>
    <row r="219" ht="15.75" customHeight="1">
      <c r="A219" s="13" t="s">
        <v>82</v>
      </c>
      <c r="B219" s="18" t="s">
        <v>494</v>
      </c>
      <c r="C219" s="14" t="s">
        <v>494</v>
      </c>
      <c r="D219" s="14" t="s">
        <v>495</v>
      </c>
      <c r="E219" s="13" t="s">
        <v>496</v>
      </c>
      <c r="F219" s="13" t="s">
        <v>466</v>
      </c>
      <c r="G219" s="13" t="s">
        <v>490</v>
      </c>
      <c r="H219" s="15">
        <v>80.0</v>
      </c>
      <c r="I219" s="15" t="s">
        <v>29</v>
      </c>
      <c r="J219" s="16" t="s">
        <v>20</v>
      </c>
      <c r="K219" s="9"/>
      <c r="L219" s="9"/>
      <c r="M219" s="19"/>
    </row>
    <row r="220" ht="15.75" customHeight="1">
      <c r="A220" s="13" t="s">
        <v>82</v>
      </c>
      <c r="B220" s="14" t="s">
        <v>497</v>
      </c>
      <c r="C220" s="14" t="s">
        <v>497</v>
      </c>
      <c r="D220" s="14"/>
      <c r="E220" s="13"/>
      <c r="F220" s="13" t="s">
        <v>466</v>
      </c>
      <c r="G220" s="13" t="s">
        <v>490</v>
      </c>
      <c r="H220" s="15">
        <v>20.0</v>
      </c>
      <c r="I220" s="15" t="s">
        <v>29</v>
      </c>
      <c r="J220" s="16" t="s">
        <v>20</v>
      </c>
      <c r="K220" s="16"/>
      <c r="L220" s="16"/>
      <c r="M220" s="19"/>
    </row>
    <row r="221" ht="15.75" customHeight="1">
      <c r="A221" s="13" t="s">
        <v>82</v>
      </c>
      <c r="B221" s="20" t="s">
        <v>498</v>
      </c>
      <c r="C221" s="14" t="s">
        <v>498</v>
      </c>
      <c r="D221" s="14" t="s">
        <v>499</v>
      </c>
      <c r="E221" s="13" t="s">
        <v>500</v>
      </c>
      <c r="F221" s="13" t="s">
        <v>466</v>
      </c>
      <c r="G221" s="13" t="s">
        <v>490</v>
      </c>
      <c r="H221" s="16">
        <v>20.0</v>
      </c>
      <c r="I221" s="16" t="s">
        <v>29</v>
      </c>
      <c r="J221" s="16" t="s">
        <v>20</v>
      </c>
      <c r="K221" s="16"/>
      <c r="L221" s="16"/>
      <c r="M221" s="9"/>
    </row>
    <row r="222" ht="15.75" customHeight="1">
      <c r="A222" s="6" t="s">
        <v>82</v>
      </c>
      <c r="B222" s="8" t="s">
        <v>501</v>
      </c>
      <c r="C222" s="8" t="s">
        <v>501</v>
      </c>
      <c r="D222" s="8" t="s">
        <v>502</v>
      </c>
      <c r="E222" s="6" t="s">
        <v>503</v>
      </c>
      <c r="F222" s="6" t="s">
        <v>504</v>
      </c>
      <c r="G222" s="6" t="s">
        <v>505</v>
      </c>
      <c r="H222" s="9"/>
      <c r="I222" s="10" t="s">
        <v>19</v>
      </c>
      <c r="J222" s="10" t="s">
        <v>20</v>
      </c>
      <c r="K222" s="10">
        <v>70.0</v>
      </c>
      <c r="L222" s="10"/>
      <c r="M222" s="12" t="s">
        <v>21</v>
      </c>
    </row>
    <row r="223" ht="15.75" customHeight="1">
      <c r="A223" s="6" t="s">
        <v>82</v>
      </c>
      <c r="B223" s="17" t="s">
        <v>506</v>
      </c>
      <c r="C223" s="8" t="s">
        <v>506</v>
      </c>
      <c r="D223" s="8" t="s">
        <v>264</v>
      </c>
      <c r="E223" s="6"/>
      <c r="F223" s="6" t="s">
        <v>504</v>
      </c>
      <c r="G223" s="6" t="s">
        <v>505</v>
      </c>
      <c r="H223" s="9"/>
      <c r="I223" s="10" t="s">
        <v>19</v>
      </c>
      <c r="J223" s="10" t="s">
        <v>20</v>
      </c>
      <c r="K223" s="11">
        <v>25.0</v>
      </c>
      <c r="L223" s="10"/>
      <c r="M223" s="12" t="s">
        <v>21</v>
      </c>
    </row>
    <row r="224" ht="15.75" customHeight="1">
      <c r="A224" s="6" t="s">
        <v>82</v>
      </c>
      <c r="B224" s="17" t="s">
        <v>507</v>
      </c>
      <c r="C224" s="8" t="s">
        <v>507</v>
      </c>
      <c r="D224" s="8" t="s">
        <v>508</v>
      </c>
      <c r="E224" s="6" t="s">
        <v>509</v>
      </c>
      <c r="F224" s="6" t="s">
        <v>504</v>
      </c>
      <c r="G224" s="6" t="s">
        <v>510</v>
      </c>
      <c r="H224" s="9"/>
      <c r="I224" s="11" t="s">
        <v>19</v>
      </c>
      <c r="J224" s="10" t="s">
        <v>22</v>
      </c>
      <c r="K224" s="10">
        <v>65.0</v>
      </c>
      <c r="L224" s="10"/>
      <c r="M224" s="12" t="s">
        <v>21</v>
      </c>
    </row>
    <row r="225" ht="15.75" customHeight="1">
      <c r="A225" s="13" t="s">
        <v>82</v>
      </c>
      <c r="B225" s="18" t="s">
        <v>511</v>
      </c>
      <c r="C225" s="14" t="s">
        <v>511</v>
      </c>
      <c r="D225" s="14" t="s">
        <v>512</v>
      </c>
      <c r="E225" s="13"/>
      <c r="F225" s="13" t="s">
        <v>504</v>
      </c>
      <c r="G225" s="13" t="s">
        <v>513</v>
      </c>
      <c r="H225" s="15">
        <v>25.0</v>
      </c>
      <c r="I225" s="15" t="s">
        <v>19</v>
      </c>
      <c r="J225" s="16" t="s">
        <v>22</v>
      </c>
      <c r="K225" s="16"/>
      <c r="L225" s="16"/>
      <c r="M225" s="21"/>
    </row>
    <row r="226" ht="15.75" customHeight="1">
      <c r="A226" s="13" t="s">
        <v>82</v>
      </c>
      <c r="B226" s="20" t="s">
        <v>511</v>
      </c>
      <c r="C226" s="14" t="s">
        <v>511</v>
      </c>
      <c r="D226" s="14" t="s">
        <v>512</v>
      </c>
      <c r="E226" s="13"/>
      <c r="F226" s="13" t="s">
        <v>504</v>
      </c>
      <c r="G226" s="13" t="s">
        <v>513</v>
      </c>
      <c r="H226" s="15">
        <v>40.0</v>
      </c>
      <c r="I226" s="16" t="s">
        <v>19</v>
      </c>
      <c r="J226" s="16" t="s">
        <v>20</v>
      </c>
      <c r="K226" s="16"/>
      <c r="L226" s="16"/>
      <c r="M226" s="19"/>
    </row>
    <row r="227" ht="15.75" customHeight="1">
      <c r="A227" s="6" t="s">
        <v>82</v>
      </c>
      <c r="B227" s="7" t="s">
        <v>507</v>
      </c>
      <c r="C227" s="8" t="s">
        <v>507</v>
      </c>
      <c r="D227" s="8" t="s">
        <v>508</v>
      </c>
      <c r="E227" s="6" t="s">
        <v>509</v>
      </c>
      <c r="F227" s="6" t="s">
        <v>504</v>
      </c>
      <c r="G227" s="6" t="s">
        <v>514</v>
      </c>
      <c r="H227" s="9"/>
      <c r="I227" s="10" t="s">
        <v>19</v>
      </c>
      <c r="J227" s="10" t="s">
        <v>20</v>
      </c>
      <c r="K227" s="10">
        <v>60.0</v>
      </c>
      <c r="L227" s="10"/>
      <c r="M227" s="12" t="s">
        <v>21</v>
      </c>
    </row>
    <row r="228" ht="15.75" customHeight="1">
      <c r="A228" s="6" t="s">
        <v>82</v>
      </c>
      <c r="B228" s="17" t="s">
        <v>515</v>
      </c>
      <c r="C228" s="8" t="s">
        <v>516</v>
      </c>
      <c r="D228" s="8" t="s">
        <v>46</v>
      </c>
      <c r="E228" s="6" t="s">
        <v>517</v>
      </c>
      <c r="F228" s="6" t="s">
        <v>504</v>
      </c>
      <c r="G228" s="6" t="s">
        <v>514</v>
      </c>
      <c r="H228" s="9"/>
      <c r="I228" s="11" t="s">
        <v>19</v>
      </c>
      <c r="J228" s="10" t="s">
        <v>22</v>
      </c>
      <c r="K228" s="10">
        <v>90.0</v>
      </c>
      <c r="L228" s="10"/>
      <c r="M228" s="12" t="s">
        <v>21</v>
      </c>
    </row>
    <row r="229" ht="15.75" customHeight="1">
      <c r="A229" s="6" t="s">
        <v>82</v>
      </c>
      <c r="B229" s="7" t="s">
        <v>515</v>
      </c>
      <c r="C229" s="8" t="s">
        <v>516</v>
      </c>
      <c r="D229" s="8" t="s">
        <v>46</v>
      </c>
      <c r="E229" s="6" t="s">
        <v>517</v>
      </c>
      <c r="F229" s="6" t="s">
        <v>504</v>
      </c>
      <c r="G229" s="6" t="s">
        <v>514</v>
      </c>
      <c r="H229" s="9"/>
      <c r="I229" s="10" t="s">
        <v>19</v>
      </c>
      <c r="J229" s="10" t="s">
        <v>20</v>
      </c>
      <c r="K229" s="10">
        <v>80.0</v>
      </c>
      <c r="L229" s="10"/>
      <c r="M229" s="12" t="s">
        <v>21</v>
      </c>
    </row>
    <row r="230" ht="15.75" customHeight="1">
      <c r="A230" s="13" t="s">
        <v>82</v>
      </c>
      <c r="B230" s="18" t="s">
        <v>515</v>
      </c>
      <c r="C230" s="14" t="s">
        <v>518</v>
      </c>
      <c r="D230" s="14" t="s">
        <v>264</v>
      </c>
      <c r="E230" s="13"/>
      <c r="F230" s="13" t="s">
        <v>504</v>
      </c>
      <c r="G230" s="13" t="s">
        <v>514</v>
      </c>
      <c r="H230" s="15">
        <v>45.0</v>
      </c>
      <c r="I230" s="15" t="s">
        <v>29</v>
      </c>
      <c r="J230" s="16" t="s">
        <v>20</v>
      </c>
      <c r="K230" s="16"/>
      <c r="L230" s="16"/>
      <c r="M230" s="19"/>
    </row>
    <row r="231" ht="15.75" customHeight="1">
      <c r="A231" s="13" t="s">
        <v>82</v>
      </c>
      <c r="B231" s="18" t="s">
        <v>515</v>
      </c>
      <c r="C231" s="14" t="s">
        <v>515</v>
      </c>
      <c r="D231" s="14" t="s">
        <v>519</v>
      </c>
      <c r="E231" s="13" t="s">
        <v>520</v>
      </c>
      <c r="F231" s="13" t="s">
        <v>504</v>
      </c>
      <c r="G231" s="13" t="s">
        <v>514</v>
      </c>
      <c r="H231" s="15">
        <v>40.0</v>
      </c>
      <c r="I231" s="15" t="s">
        <v>19</v>
      </c>
      <c r="J231" s="16" t="s">
        <v>22</v>
      </c>
      <c r="K231" s="9"/>
      <c r="L231" s="9"/>
      <c r="M231" s="19"/>
    </row>
    <row r="232" ht="15.75" customHeight="1">
      <c r="A232" s="13" t="s">
        <v>82</v>
      </c>
      <c r="B232" s="20" t="s">
        <v>515</v>
      </c>
      <c r="C232" s="14" t="s">
        <v>515</v>
      </c>
      <c r="D232" s="14" t="s">
        <v>519</v>
      </c>
      <c r="E232" s="13" t="s">
        <v>520</v>
      </c>
      <c r="F232" s="13" t="s">
        <v>504</v>
      </c>
      <c r="G232" s="13" t="s">
        <v>514</v>
      </c>
      <c r="H232" s="15">
        <v>60.0</v>
      </c>
      <c r="I232" s="16" t="s">
        <v>19</v>
      </c>
      <c r="J232" s="16" t="s">
        <v>20</v>
      </c>
      <c r="K232" s="15"/>
      <c r="L232" s="15"/>
      <c r="M232" s="21"/>
    </row>
    <row r="233" ht="15.75" customHeight="1">
      <c r="A233" s="13" t="s">
        <v>82</v>
      </c>
      <c r="B233" s="20" t="s">
        <v>521</v>
      </c>
      <c r="C233" s="14" t="s">
        <v>521</v>
      </c>
      <c r="D233" s="14" t="s">
        <v>522</v>
      </c>
      <c r="E233" s="13" t="s">
        <v>523</v>
      </c>
      <c r="F233" s="13" t="s">
        <v>504</v>
      </c>
      <c r="G233" s="13" t="s">
        <v>514</v>
      </c>
      <c r="H233" s="16">
        <v>20.0</v>
      </c>
      <c r="I233" s="16" t="s">
        <v>29</v>
      </c>
      <c r="J233" s="16" t="s">
        <v>20</v>
      </c>
      <c r="K233" s="16"/>
      <c r="L233" s="16"/>
      <c r="M233" s="9"/>
    </row>
    <row r="234" ht="15.75" customHeight="1">
      <c r="A234" s="13" t="s">
        <v>82</v>
      </c>
      <c r="B234" s="20" t="s">
        <v>521</v>
      </c>
      <c r="C234" s="14" t="s">
        <v>521</v>
      </c>
      <c r="D234" s="14" t="s">
        <v>522</v>
      </c>
      <c r="E234" s="13" t="s">
        <v>523</v>
      </c>
      <c r="F234" s="13" t="s">
        <v>504</v>
      </c>
      <c r="G234" s="13" t="s">
        <v>514</v>
      </c>
      <c r="H234" s="16">
        <v>20.0</v>
      </c>
      <c r="I234" s="16" t="s">
        <v>29</v>
      </c>
      <c r="J234" s="16" t="s">
        <v>22</v>
      </c>
      <c r="K234" s="16"/>
      <c r="L234" s="16"/>
      <c r="M234" s="9"/>
    </row>
    <row r="235" ht="15.75" customHeight="1">
      <c r="A235" s="13" t="s">
        <v>184</v>
      </c>
      <c r="B235" s="20" t="s">
        <v>524</v>
      </c>
      <c r="C235" s="14" t="s">
        <v>524</v>
      </c>
      <c r="D235" s="14" t="s">
        <v>525</v>
      </c>
      <c r="E235" s="13" t="s">
        <v>526</v>
      </c>
      <c r="F235" s="13" t="s">
        <v>527</v>
      </c>
      <c r="G235" s="13" t="s">
        <v>528</v>
      </c>
      <c r="H235" s="15">
        <f>50+20</f>
        <v>70</v>
      </c>
      <c r="I235" s="15" t="s">
        <v>29</v>
      </c>
      <c r="J235" s="16" t="s">
        <v>22</v>
      </c>
      <c r="K235" s="9"/>
      <c r="L235" s="9"/>
      <c r="M235" s="19"/>
    </row>
    <row r="236" ht="15.75" customHeight="1">
      <c r="A236" s="6" t="s">
        <v>14</v>
      </c>
      <c r="B236" s="7" t="s">
        <v>529</v>
      </c>
      <c r="C236" s="8" t="s">
        <v>530</v>
      </c>
      <c r="D236" s="8" t="s">
        <v>531</v>
      </c>
      <c r="E236" s="33"/>
      <c r="F236" s="6" t="s">
        <v>527</v>
      </c>
      <c r="G236" s="6" t="s">
        <v>528</v>
      </c>
      <c r="H236" s="9"/>
      <c r="I236" s="10" t="s">
        <v>19</v>
      </c>
      <c r="J236" s="10" t="s">
        <v>20</v>
      </c>
      <c r="K236" s="10">
        <v>60.0</v>
      </c>
      <c r="L236" s="10"/>
      <c r="M236" s="12" t="s">
        <v>21</v>
      </c>
    </row>
    <row r="237" ht="15.75" customHeight="1">
      <c r="A237" s="13" t="s">
        <v>14</v>
      </c>
      <c r="B237" s="18" t="s">
        <v>529</v>
      </c>
      <c r="C237" s="14" t="s">
        <v>532</v>
      </c>
      <c r="D237" s="14" t="s">
        <v>533</v>
      </c>
      <c r="E237" s="13" t="s">
        <v>534</v>
      </c>
      <c r="F237" s="13" t="s">
        <v>527</v>
      </c>
      <c r="G237" s="13" t="s">
        <v>528</v>
      </c>
      <c r="H237" s="15">
        <v>60.0</v>
      </c>
      <c r="I237" s="15" t="s">
        <v>19</v>
      </c>
      <c r="J237" s="16" t="s">
        <v>22</v>
      </c>
      <c r="K237" s="16"/>
      <c r="L237" s="16"/>
      <c r="M237" s="19"/>
    </row>
    <row r="238" ht="15.75" customHeight="1">
      <c r="A238" s="13" t="s">
        <v>14</v>
      </c>
      <c r="B238" s="20" t="s">
        <v>529</v>
      </c>
      <c r="C238" s="14" t="s">
        <v>532</v>
      </c>
      <c r="D238" s="14" t="s">
        <v>533</v>
      </c>
      <c r="E238" s="13" t="s">
        <v>534</v>
      </c>
      <c r="F238" s="13" t="s">
        <v>527</v>
      </c>
      <c r="G238" s="13" t="s">
        <v>528</v>
      </c>
      <c r="H238" s="15">
        <v>80.0</v>
      </c>
      <c r="I238" s="16" t="s">
        <v>19</v>
      </c>
      <c r="J238" s="16" t="s">
        <v>20</v>
      </c>
      <c r="K238" s="16"/>
      <c r="L238" s="16"/>
      <c r="M238" s="21"/>
    </row>
    <row r="239" ht="15.75" customHeight="1">
      <c r="A239" s="13" t="s">
        <v>14</v>
      </c>
      <c r="B239" s="18" t="s">
        <v>529</v>
      </c>
      <c r="C239" s="14" t="s">
        <v>535</v>
      </c>
      <c r="D239" s="14" t="s">
        <v>536</v>
      </c>
      <c r="E239" s="16" t="s">
        <v>537</v>
      </c>
      <c r="F239" s="13" t="s">
        <v>527</v>
      </c>
      <c r="G239" s="13" t="s">
        <v>528</v>
      </c>
      <c r="H239" s="15">
        <v>40.0</v>
      </c>
      <c r="I239" s="13" t="s">
        <v>209</v>
      </c>
      <c r="J239" s="13" t="s">
        <v>22</v>
      </c>
      <c r="K239" s="16"/>
      <c r="L239" s="16"/>
      <c r="M239" s="19"/>
    </row>
    <row r="240" ht="15.75" customHeight="1">
      <c r="A240" s="13" t="s">
        <v>14</v>
      </c>
      <c r="B240" s="20" t="s">
        <v>529</v>
      </c>
      <c r="C240" s="14" t="s">
        <v>535</v>
      </c>
      <c r="D240" s="14" t="s">
        <v>536</v>
      </c>
      <c r="E240" s="16" t="s">
        <v>537</v>
      </c>
      <c r="F240" s="13" t="s">
        <v>527</v>
      </c>
      <c r="G240" s="13" t="s">
        <v>528</v>
      </c>
      <c r="H240" s="15">
        <v>45.0</v>
      </c>
      <c r="I240" s="13" t="s">
        <v>209</v>
      </c>
      <c r="J240" s="13" t="s">
        <v>20</v>
      </c>
      <c r="K240" s="16"/>
      <c r="L240" s="16"/>
      <c r="M240" s="21"/>
    </row>
    <row r="241" ht="15.75" customHeight="1">
      <c r="A241" s="6" t="s">
        <v>14</v>
      </c>
      <c r="B241" s="7" t="s">
        <v>529</v>
      </c>
      <c r="C241" s="8" t="s">
        <v>538</v>
      </c>
      <c r="D241" s="8" t="s">
        <v>539</v>
      </c>
      <c r="E241" s="33"/>
      <c r="F241" s="6" t="s">
        <v>527</v>
      </c>
      <c r="G241" s="6" t="s">
        <v>528</v>
      </c>
      <c r="H241" s="9"/>
      <c r="I241" s="10" t="s">
        <v>19</v>
      </c>
      <c r="J241" s="10" t="s">
        <v>20</v>
      </c>
      <c r="K241" s="10">
        <v>80.0</v>
      </c>
      <c r="L241" s="10"/>
      <c r="M241" s="12" t="s">
        <v>21</v>
      </c>
    </row>
    <row r="242" ht="15.75" customHeight="1">
      <c r="A242" s="6" t="s">
        <v>14</v>
      </c>
      <c r="B242" s="7" t="s">
        <v>529</v>
      </c>
      <c r="C242" s="8" t="s">
        <v>540</v>
      </c>
      <c r="D242" s="8" t="s">
        <v>541</v>
      </c>
      <c r="E242" s="33"/>
      <c r="F242" s="6" t="s">
        <v>527</v>
      </c>
      <c r="G242" s="6" t="s">
        <v>528</v>
      </c>
      <c r="H242" s="9"/>
      <c r="I242" s="10" t="s">
        <v>19</v>
      </c>
      <c r="J242" s="10" t="s">
        <v>20</v>
      </c>
      <c r="K242" s="10">
        <v>80.0</v>
      </c>
      <c r="L242" s="10"/>
      <c r="M242" s="12" t="s">
        <v>21</v>
      </c>
    </row>
    <row r="243" ht="15.75" customHeight="1">
      <c r="A243" s="13" t="s">
        <v>14</v>
      </c>
      <c r="B243" s="18" t="s">
        <v>542</v>
      </c>
      <c r="C243" s="14" t="s">
        <v>542</v>
      </c>
      <c r="D243" s="14" t="s">
        <v>543</v>
      </c>
      <c r="E243" s="13"/>
      <c r="F243" s="13" t="s">
        <v>527</v>
      </c>
      <c r="G243" s="13" t="s">
        <v>528</v>
      </c>
      <c r="H243" s="15">
        <f>200-20</f>
        <v>180</v>
      </c>
      <c r="I243" s="15" t="s">
        <v>29</v>
      </c>
      <c r="J243" s="16" t="s">
        <v>20</v>
      </c>
      <c r="K243" s="16"/>
      <c r="L243" s="16"/>
      <c r="M243" s="19"/>
    </row>
    <row r="244" ht="15.75" customHeight="1">
      <c r="A244" s="13" t="s">
        <v>14</v>
      </c>
      <c r="B244" s="18" t="s">
        <v>544</v>
      </c>
      <c r="C244" s="9" t="s">
        <v>544</v>
      </c>
      <c r="D244" s="14" t="s">
        <v>545</v>
      </c>
      <c r="E244" s="13" t="s">
        <v>546</v>
      </c>
      <c r="F244" s="13" t="s">
        <v>527</v>
      </c>
      <c r="G244" s="13" t="s">
        <v>528</v>
      </c>
      <c r="H244" s="15">
        <f>40+20</f>
        <v>60</v>
      </c>
      <c r="I244" s="15" t="s">
        <v>29</v>
      </c>
      <c r="J244" s="16" t="s">
        <v>20</v>
      </c>
      <c r="K244" s="16"/>
      <c r="L244" s="16"/>
      <c r="M244" s="19"/>
    </row>
    <row r="245" ht="15.75" customHeight="1">
      <c r="A245" s="13" t="s">
        <v>184</v>
      </c>
      <c r="B245" s="20" t="s">
        <v>547</v>
      </c>
      <c r="C245" s="14" t="s">
        <v>547</v>
      </c>
      <c r="D245" s="14" t="s">
        <v>548</v>
      </c>
      <c r="E245" s="13" t="s">
        <v>549</v>
      </c>
      <c r="F245" s="13" t="s">
        <v>527</v>
      </c>
      <c r="G245" s="13" t="s">
        <v>528</v>
      </c>
      <c r="H245" s="15">
        <f>20+10</f>
        <v>30</v>
      </c>
      <c r="I245" s="15" t="s">
        <v>29</v>
      </c>
      <c r="J245" s="16" t="s">
        <v>20</v>
      </c>
      <c r="K245" s="16"/>
      <c r="L245" s="16"/>
      <c r="M245" s="19"/>
    </row>
    <row r="246" ht="15.75" customHeight="1">
      <c r="A246" s="13" t="s">
        <v>14</v>
      </c>
      <c r="B246" s="18" t="s">
        <v>550</v>
      </c>
      <c r="C246" s="14" t="s">
        <v>550</v>
      </c>
      <c r="D246" s="14" t="s">
        <v>551</v>
      </c>
      <c r="E246" s="13"/>
      <c r="F246" s="13" t="s">
        <v>527</v>
      </c>
      <c r="G246" s="13" t="s">
        <v>552</v>
      </c>
      <c r="H246" s="15">
        <v>40.0</v>
      </c>
      <c r="I246" s="15" t="s">
        <v>29</v>
      </c>
      <c r="J246" s="16" t="s">
        <v>22</v>
      </c>
      <c r="K246" s="16"/>
      <c r="L246" s="16"/>
      <c r="M246" s="19"/>
    </row>
    <row r="247" ht="15.75" customHeight="1">
      <c r="A247" s="13" t="s">
        <v>14</v>
      </c>
      <c r="B247" s="18" t="s">
        <v>550</v>
      </c>
      <c r="C247" s="14" t="s">
        <v>550</v>
      </c>
      <c r="D247" s="14" t="s">
        <v>551</v>
      </c>
      <c r="E247" s="13"/>
      <c r="F247" s="13" t="s">
        <v>527</v>
      </c>
      <c r="G247" s="13" t="s">
        <v>552</v>
      </c>
      <c r="H247" s="15">
        <v>40.0</v>
      </c>
      <c r="I247" s="15" t="s">
        <v>29</v>
      </c>
      <c r="J247" s="16" t="s">
        <v>20</v>
      </c>
      <c r="K247" s="16"/>
      <c r="L247" s="16"/>
      <c r="M247" s="19"/>
    </row>
    <row r="248" ht="15.75" customHeight="1">
      <c r="A248" s="23" t="s">
        <v>184</v>
      </c>
      <c r="B248" s="24" t="s">
        <v>553</v>
      </c>
      <c r="C248" s="26" t="s">
        <v>553</v>
      </c>
      <c r="D248" s="25" t="s">
        <v>554</v>
      </c>
      <c r="E248" s="13" t="s">
        <v>555</v>
      </c>
      <c r="F248" s="13" t="s">
        <v>527</v>
      </c>
      <c r="G248" s="13" t="s">
        <v>552</v>
      </c>
      <c r="H248" s="15">
        <v>50.0</v>
      </c>
      <c r="I248" s="15" t="s">
        <v>29</v>
      </c>
      <c r="J248" s="16" t="s">
        <v>22</v>
      </c>
      <c r="K248" s="16"/>
      <c r="L248" s="16"/>
      <c r="M248" s="19"/>
    </row>
    <row r="249" ht="15.75" customHeight="1">
      <c r="A249" s="23" t="s">
        <v>184</v>
      </c>
      <c r="B249" s="24" t="s">
        <v>553</v>
      </c>
      <c r="C249" s="26" t="s">
        <v>553</v>
      </c>
      <c r="D249" s="25" t="s">
        <v>554</v>
      </c>
      <c r="E249" s="13" t="s">
        <v>555</v>
      </c>
      <c r="F249" s="13" t="s">
        <v>527</v>
      </c>
      <c r="G249" s="13" t="s">
        <v>552</v>
      </c>
      <c r="H249" s="15">
        <v>50.0</v>
      </c>
      <c r="I249" s="15" t="s">
        <v>29</v>
      </c>
      <c r="J249" s="16" t="s">
        <v>20</v>
      </c>
      <c r="K249" s="16"/>
      <c r="L249" s="16"/>
      <c r="M249" s="19"/>
    </row>
    <row r="250" ht="15.75" customHeight="1">
      <c r="A250" s="6" t="s">
        <v>14</v>
      </c>
      <c r="B250" s="7" t="s">
        <v>556</v>
      </c>
      <c r="C250" s="8" t="s">
        <v>557</v>
      </c>
      <c r="D250" s="8" t="s">
        <v>558</v>
      </c>
      <c r="E250" s="6"/>
      <c r="F250" s="6" t="s">
        <v>527</v>
      </c>
      <c r="G250" s="6" t="s">
        <v>552</v>
      </c>
      <c r="H250" s="9"/>
      <c r="I250" s="10" t="s">
        <v>19</v>
      </c>
      <c r="J250" s="10" t="s">
        <v>20</v>
      </c>
      <c r="K250" s="10">
        <v>65.0</v>
      </c>
      <c r="L250" s="10"/>
      <c r="M250" s="12" t="s">
        <v>21</v>
      </c>
    </row>
    <row r="251" ht="15.75" customHeight="1">
      <c r="A251" s="13" t="s">
        <v>14</v>
      </c>
      <c r="B251" s="20" t="s">
        <v>556</v>
      </c>
      <c r="C251" s="14" t="s">
        <v>556</v>
      </c>
      <c r="D251" s="14" t="s">
        <v>559</v>
      </c>
      <c r="E251" s="13"/>
      <c r="F251" s="13" t="s">
        <v>527</v>
      </c>
      <c r="G251" s="13" t="s">
        <v>552</v>
      </c>
      <c r="H251" s="15">
        <f>70</f>
        <v>70</v>
      </c>
      <c r="I251" s="16" t="s">
        <v>19</v>
      </c>
      <c r="J251" s="16" t="s">
        <v>20</v>
      </c>
      <c r="K251" s="9"/>
      <c r="L251" s="9"/>
      <c r="M251" s="19"/>
    </row>
    <row r="252" ht="15.75" customHeight="1">
      <c r="A252" s="13" t="s">
        <v>14</v>
      </c>
      <c r="B252" s="18" t="s">
        <v>556</v>
      </c>
      <c r="C252" s="14" t="s">
        <v>556</v>
      </c>
      <c r="D252" s="14" t="s">
        <v>559</v>
      </c>
      <c r="E252" s="13"/>
      <c r="F252" s="13" t="s">
        <v>527</v>
      </c>
      <c r="G252" s="13" t="s">
        <v>552</v>
      </c>
      <c r="H252" s="15">
        <v>40.0</v>
      </c>
      <c r="I252" s="15" t="s">
        <v>19</v>
      </c>
      <c r="J252" s="16" t="s">
        <v>22</v>
      </c>
      <c r="K252" s="16"/>
      <c r="L252" s="16"/>
      <c r="M252" s="19"/>
    </row>
    <row r="253" ht="15.75" customHeight="1">
      <c r="A253" s="13" t="s">
        <v>14</v>
      </c>
      <c r="B253" s="18" t="s">
        <v>556</v>
      </c>
      <c r="C253" s="14" t="s">
        <v>560</v>
      </c>
      <c r="D253" s="14" t="s">
        <v>561</v>
      </c>
      <c r="E253" s="13"/>
      <c r="F253" s="13" t="s">
        <v>527</v>
      </c>
      <c r="G253" s="13" t="s">
        <v>552</v>
      </c>
      <c r="H253" s="15">
        <v>25.0</v>
      </c>
      <c r="I253" s="15" t="s">
        <v>19</v>
      </c>
      <c r="J253" s="16" t="s">
        <v>22</v>
      </c>
      <c r="K253" s="16"/>
      <c r="L253" s="16"/>
      <c r="M253" s="19"/>
    </row>
    <row r="254" ht="15.75" customHeight="1">
      <c r="A254" s="13" t="s">
        <v>14</v>
      </c>
      <c r="B254" s="20" t="s">
        <v>556</v>
      </c>
      <c r="C254" s="14" t="s">
        <v>560</v>
      </c>
      <c r="D254" s="14" t="s">
        <v>561</v>
      </c>
      <c r="E254" s="13"/>
      <c r="F254" s="13" t="s">
        <v>527</v>
      </c>
      <c r="G254" s="13" t="s">
        <v>552</v>
      </c>
      <c r="H254" s="15">
        <v>45.0</v>
      </c>
      <c r="I254" s="16" t="s">
        <v>19</v>
      </c>
      <c r="J254" s="16" t="s">
        <v>20</v>
      </c>
      <c r="K254" s="16"/>
      <c r="L254" s="16"/>
      <c r="M254" s="19"/>
    </row>
    <row r="255" ht="15.75" customHeight="1">
      <c r="A255" s="13" t="s">
        <v>14</v>
      </c>
      <c r="B255" s="18" t="s">
        <v>562</v>
      </c>
      <c r="C255" s="14" t="s">
        <v>562</v>
      </c>
      <c r="D255" s="14" t="s">
        <v>563</v>
      </c>
      <c r="E255" s="13" t="s">
        <v>564</v>
      </c>
      <c r="F255" s="13" t="s">
        <v>527</v>
      </c>
      <c r="G255" s="13" t="s">
        <v>552</v>
      </c>
      <c r="H255" s="15">
        <v>80.0</v>
      </c>
      <c r="I255" s="15" t="s">
        <v>29</v>
      </c>
      <c r="J255" s="16" t="s">
        <v>20</v>
      </c>
      <c r="K255" s="9"/>
      <c r="L255" s="9"/>
      <c r="M255" s="19"/>
    </row>
    <row r="256" ht="15.75" customHeight="1">
      <c r="A256" s="13" t="s">
        <v>82</v>
      </c>
      <c r="B256" s="18" t="s">
        <v>565</v>
      </c>
      <c r="C256" s="14" t="s">
        <v>565</v>
      </c>
      <c r="D256" s="14" t="s">
        <v>566</v>
      </c>
      <c r="E256" s="13" t="s">
        <v>567</v>
      </c>
      <c r="F256" s="13" t="s">
        <v>568</v>
      </c>
      <c r="G256" s="13" t="s">
        <v>569</v>
      </c>
      <c r="H256" s="15">
        <v>25.0</v>
      </c>
      <c r="I256" s="15" t="s">
        <v>19</v>
      </c>
      <c r="J256" s="16" t="s">
        <v>22</v>
      </c>
      <c r="K256" s="16"/>
      <c r="L256" s="16"/>
      <c r="M256" s="19"/>
    </row>
    <row r="257" ht="15.75" customHeight="1">
      <c r="A257" s="13" t="s">
        <v>82</v>
      </c>
      <c r="B257" s="20" t="s">
        <v>565</v>
      </c>
      <c r="C257" s="14" t="s">
        <v>565</v>
      </c>
      <c r="D257" s="14" t="s">
        <v>566</v>
      </c>
      <c r="E257" s="13" t="s">
        <v>567</v>
      </c>
      <c r="F257" s="13" t="s">
        <v>568</v>
      </c>
      <c r="G257" s="13" t="s">
        <v>569</v>
      </c>
      <c r="H257" s="15">
        <v>50.0</v>
      </c>
      <c r="I257" s="16" t="s">
        <v>19</v>
      </c>
      <c r="J257" s="16" t="s">
        <v>20</v>
      </c>
      <c r="K257" s="9"/>
      <c r="L257" s="9"/>
      <c r="M257" s="19"/>
    </row>
    <row r="258" ht="15.75" customHeight="1">
      <c r="A258" s="13" t="s">
        <v>82</v>
      </c>
      <c r="B258" s="20" t="s">
        <v>565</v>
      </c>
      <c r="C258" s="14" t="s">
        <v>570</v>
      </c>
      <c r="D258" s="14" t="s">
        <v>571</v>
      </c>
      <c r="E258" s="13"/>
      <c r="F258" s="13" t="s">
        <v>568</v>
      </c>
      <c r="G258" s="13" t="s">
        <v>569</v>
      </c>
      <c r="H258" s="15">
        <v>50.0</v>
      </c>
      <c r="I258" s="13" t="s">
        <v>209</v>
      </c>
      <c r="J258" s="13" t="s">
        <v>20</v>
      </c>
      <c r="K258" s="16"/>
      <c r="L258" s="16"/>
      <c r="M258" s="19"/>
    </row>
    <row r="259" ht="15.75" customHeight="1"/>
    <row r="260" ht="15.75" customHeight="1"/>
    <row r="261" ht="15.75" customHeight="1"/>
    <row r="262" ht="15.75" customHeight="1">
      <c r="B262" s="34" t="s">
        <v>572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J$1:$J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52.43"/>
    <col customWidth="1" min="4" max="4" width="74.0"/>
    <col customWidth="1" min="5" max="5" width="39.57"/>
    <col customWidth="1" min="6" max="6" width="10.71"/>
    <col customWidth="1" min="7" max="7" width="44.0"/>
    <col customWidth="1" min="8" max="8" width="38.57"/>
    <col customWidth="1" min="9" max="9" width="51.71"/>
    <col customWidth="1" min="10" max="26" width="10.71"/>
  </cols>
  <sheetData>
    <row r="1">
      <c r="A1" s="35" t="s">
        <v>573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7"/>
    </row>
    <row r="2">
      <c r="A2" s="38" t="s">
        <v>574</v>
      </c>
      <c r="B2" s="38" t="s">
        <v>575</v>
      </c>
      <c r="C2" s="39" t="s">
        <v>576</v>
      </c>
      <c r="D2" s="39" t="s">
        <v>577</v>
      </c>
      <c r="E2" s="39" t="s">
        <v>578</v>
      </c>
      <c r="F2" s="39" t="s">
        <v>579</v>
      </c>
      <c r="G2" s="39" t="s">
        <v>580</v>
      </c>
      <c r="H2" s="39" t="s">
        <v>581</v>
      </c>
      <c r="I2" s="39" t="s">
        <v>582</v>
      </c>
    </row>
    <row r="3">
      <c r="A3" s="40">
        <v>1.0</v>
      </c>
      <c r="B3" s="40">
        <v>1.0</v>
      </c>
      <c r="C3" s="41" t="s">
        <v>583</v>
      </c>
      <c r="D3" s="42" t="s">
        <v>584</v>
      </c>
      <c r="E3" s="42" t="s">
        <v>585</v>
      </c>
      <c r="F3" s="43">
        <v>1.2867263E7</v>
      </c>
      <c r="G3" s="44" t="s">
        <v>586</v>
      </c>
      <c r="H3" s="45" t="s">
        <v>587</v>
      </c>
      <c r="I3" s="46" t="s">
        <v>588</v>
      </c>
    </row>
    <row r="4">
      <c r="A4" s="47">
        <v>2.0</v>
      </c>
      <c r="B4" s="47">
        <v>2.0</v>
      </c>
      <c r="C4" s="48" t="s">
        <v>589</v>
      </c>
      <c r="D4" s="49" t="s">
        <v>590</v>
      </c>
      <c r="E4" s="49" t="s">
        <v>591</v>
      </c>
      <c r="F4" s="50">
        <v>1.1718522E7</v>
      </c>
      <c r="G4" s="51" t="s">
        <v>592</v>
      </c>
      <c r="H4" s="52" t="s">
        <v>593</v>
      </c>
      <c r="I4" s="53" t="s">
        <v>594</v>
      </c>
    </row>
    <row r="5">
      <c r="A5" s="54">
        <v>3.0</v>
      </c>
      <c r="B5" s="47">
        <v>3.0</v>
      </c>
      <c r="C5" s="48" t="s">
        <v>595</v>
      </c>
      <c r="D5" s="49" t="s">
        <v>596</v>
      </c>
      <c r="E5" s="49" t="s">
        <v>597</v>
      </c>
      <c r="F5" s="50">
        <v>1.7618789E7</v>
      </c>
      <c r="G5" s="51" t="s">
        <v>598</v>
      </c>
      <c r="H5" s="52" t="s">
        <v>599</v>
      </c>
      <c r="I5" s="53" t="s">
        <v>594</v>
      </c>
    </row>
    <row r="6">
      <c r="A6" s="47">
        <v>4.0</v>
      </c>
      <c r="B6" s="47">
        <v>4.0</v>
      </c>
      <c r="C6" s="48" t="s">
        <v>600</v>
      </c>
      <c r="D6" s="49" t="s">
        <v>601</v>
      </c>
      <c r="E6" s="49" t="s">
        <v>602</v>
      </c>
      <c r="F6" s="50">
        <v>1.0968212E7</v>
      </c>
      <c r="G6" s="51" t="s">
        <v>603</v>
      </c>
      <c r="H6" s="52" t="s">
        <v>604</v>
      </c>
      <c r="I6" s="53" t="s">
        <v>594</v>
      </c>
    </row>
    <row r="7">
      <c r="A7" s="54">
        <v>5.0</v>
      </c>
      <c r="B7" s="47">
        <v>5.0</v>
      </c>
      <c r="C7" s="48" t="s">
        <v>605</v>
      </c>
      <c r="D7" s="49" t="s">
        <v>606</v>
      </c>
      <c r="E7" s="49" t="s">
        <v>607</v>
      </c>
      <c r="F7" s="50">
        <v>2.7992491E7</v>
      </c>
      <c r="G7" s="51" t="s">
        <v>608</v>
      </c>
      <c r="H7" s="52" t="s">
        <v>609</v>
      </c>
      <c r="I7" s="53" t="s">
        <v>594</v>
      </c>
    </row>
    <row r="8">
      <c r="A8" s="47">
        <v>6.0</v>
      </c>
      <c r="B8" s="55">
        <v>6.0</v>
      </c>
      <c r="C8" s="48" t="s">
        <v>610</v>
      </c>
      <c r="D8" s="49" t="s">
        <v>611</v>
      </c>
      <c r="E8" s="49" t="s">
        <v>612</v>
      </c>
      <c r="F8" s="50">
        <v>2.2320099E7</v>
      </c>
      <c r="G8" s="51" t="s">
        <v>613</v>
      </c>
      <c r="H8" s="52" t="s">
        <v>614</v>
      </c>
      <c r="I8" s="53" t="s">
        <v>594</v>
      </c>
    </row>
    <row r="9">
      <c r="A9" s="54">
        <v>7.0</v>
      </c>
      <c r="B9" s="47">
        <v>8.0</v>
      </c>
      <c r="C9" s="48" t="s">
        <v>615</v>
      </c>
      <c r="D9" s="49" t="s">
        <v>616</v>
      </c>
      <c r="E9" s="49" t="s">
        <v>617</v>
      </c>
      <c r="F9" s="50">
        <v>2.2641572E7</v>
      </c>
      <c r="G9" s="51" t="s">
        <v>618</v>
      </c>
      <c r="H9" s="52" t="s">
        <v>619</v>
      </c>
      <c r="I9" s="53" t="s">
        <v>594</v>
      </c>
    </row>
    <row r="10">
      <c r="A10" s="47">
        <v>8.0</v>
      </c>
      <c r="B10" s="47">
        <v>9.0</v>
      </c>
      <c r="C10" s="48" t="s">
        <v>620</v>
      </c>
      <c r="D10" s="49" t="s">
        <v>621</v>
      </c>
      <c r="E10" s="49" t="s">
        <v>622</v>
      </c>
      <c r="F10" s="50">
        <v>1.0291176E7</v>
      </c>
      <c r="G10" s="51" t="s">
        <v>623</v>
      </c>
      <c r="H10" s="52" t="s">
        <v>624</v>
      </c>
      <c r="I10" s="53" t="s">
        <v>625</v>
      </c>
    </row>
    <row r="11">
      <c r="A11" s="54">
        <v>9.0</v>
      </c>
      <c r="B11" s="55">
        <v>10.0</v>
      </c>
      <c r="C11" s="48" t="s">
        <v>626</v>
      </c>
      <c r="D11" s="49" t="s">
        <v>627</v>
      </c>
      <c r="E11" s="49" t="s">
        <v>628</v>
      </c>
      <c r="F11" s="50">
        <v>2.972129E7</v>
      </c>
      <c r="G11" s="51" t="s">
        <v>629</v>
      </c>
      <c r="H11" s="52" t="s">
        <v>630</v>
      </c>
      <c r="I11" s="53" t="s">
        <v>594</v>
      </c>
    </row>
    <row r="12">
      <c r="A12" s="47">
        <v>10.0</v>
      </c>
      <c r="B12" s="47">
        <v>11.0</v>
      </c>
      <c r="C12" s="48" t="s">
        <v>631</v>
      </c>
      <c r="D12" s="49" t="s">
        <v>632</v>
      </c>
      <c r="E12" s="49" t="s">
        <v>633</v>
      </c>
      <c r="F12" s="50">
        <v>2.2641204E7</v>
      </c>
      <c r="G12" s="51" t="s">
        <v>634</v>
      </c>
      <c r="H12" s="52" t="s">
        <v>635</v>
      </c>
      <c r="I12" s="53" t="s">
        <v>636</v>
      </c>
    </row>
    <row r="13">
      <c r="A13" s="54">
        <v>11.0</v>
      </c>
      <c r="B13" s="47">
        <v>13.0</v>
      </c>
      <c r="C13" s="48" t="s">
        <v>637</v>
      </c>
      <c r="D13" s="49" t="s">
        <v>638</v>
      </c>
      <c r="E13" s="49" t="s">
        <v>639</v>
      </c>
      <c r="F13" s="50">
        <v>1.8566679E7</v>
      </c>
      <c r="G13" s="51" t="s">
        <v>640</v>
      </c>
      <c r="H13" s="52" t="s">
        <v>641</v>
      </c>
      <c r="I13" s="53" t="s">
        <v>636</v>
      </c>
    </row>
    <row r="14">
      <c r="A14" s="47">
        <v>12.0</v>
      </c>
      <c r="B14" s="47">
        <v>14.0</v>
      </c>
      <c r="C14" s="48" t="s">
        <v>642</v>
      </c>
      <c r="D14" s="49" t="s">
        <v>643</v>
      </c>
      <c r="E14" s="49" t="s">
        <v>644</v>
      </c>
      <c r="F14" s="50">
        <v>3.28745E7</v>
      </c>
      <c r="G14" s="51" t="s">
        <v>645</v>
      </c>
      <c r="H14" s="52" t="s">
        <v>646</v>
      </c>
      <c r="I14" s="53" t="s">
        <v>647</v>
      </c>
    </row>
    <row r="15">
      <c r="A15" s="40">
        <v>13.0</v>
      </c>
      <c r="B15" s="56">
        <v>15.0</v>
      </c>
      <c r="C15" s="57" t="s">
        <v>648</v>
      </c>
      <c r="D15" s="58" t="s">
        <v>649</v>
      </c>
      <c r="E15" s="58" t="s">
        <v>650</v>
      </c>
      <c r="F15" s="59">
        <v>1.4179028E7</v>
      </c>
      <c r="G15" s="60" t="s">
        <v>651</v>
      </c>
      <c r="H15" s="61" t="s">
        <v>652</v>
      </c>
      <c r="I15" s="46" t="s">
        <v>588</v>
      </c>
    </row>
    <row r="16">
      <c r="A16" s="47">
        <v>14.0</v>
      </c>
      <c r="B16" s="47">
        <v>16.0</v>
      </c>
      <c r="C16" s="48" t="s">
        <v>653</v>
      </c>
      <c r="D16" s="49" t="s">
        <v>654</v>
      </c>
      <c r="E16" s="49" t="s">
        <v>655</v>
      </c>
      <c r="F16" s="50">
        <v>1.8295711E7</v>
      </c>
      <c r="G16" s="51" t="s">
        <v>656</v>
      </c>
      <c r="H16" s="52" t="s">
        <v>657</v>
      </c>
      <c r="I16" s="53" t="s">
        <v>647</v>
      </c>
    </row>
    <row r="17">
      <c r="A17" s="40">
        <v>15.0</v>
      </c>
      <c r="B17" s="56">
        <v>17.0</v>
      </c>
      <c r="C17" s="57" t="s">
        <v>658</v>
      </c>
      <c r="D17" s="58" t="s">
        <v>659</v>
      </c>
      <c r="E17" s="58" t="s">
        <v>660</v>
      </c>
      <c r="F17" s="59">
        <v>3.2183192E7</v>
      </c>
      <c r="G17" s="60" t="s">
        <v>661</v>
      </c>
      <c r="H17" s="61" t="s">
        <v>662</v>
      </c>
      <c r="I17" s="46" t="s">
        <v>588</v>
      </c>
    </row>
    <row r="18">
      <c r="A18" s="47">
        <v>16.0</v>
      </c>
      <c r="B18" s="47">
        <v>18.0</v>
      </c>
      <c r="C18" s="48" t="s">
        <v>663</v>
      </c>
      <c r="D18" s="49" t="s">
        <v>664</v>
      </c>
      <c r="E18" s="49" t="s">
        <v>665</v>
      </c>
      <c r="F18" s="50">
        <v>1.6357084E7</v>
      </c>
      <c r="G18" s="51" t="s">
        <v>666</v>
      </c>
      <c r="H18" s="52" t="s">
        <v>667</v>
      </c>
      <c r="I18" s="53" t="s">
        <v>636</v>
      </c>
    </row>
    <row r="19">
      <c r="A19" s="54">
        <v>17.0</v>
      </c>
      <c r="B19" s="47">
        <v>19.0</v>
      </c>
      <c r="C19" s="48" t="s">
        <v>668</v>
      </c>
      <c r="D19" s="49" t="s">
        <v>669</v>
      </c>
      <c r="E19" s="49" t="s">
        <v>670</v>
      </c>
      <c r="F19" s="50">
        <v>1.657617E7</v>
      </c>
      <c r="G19" s="51" t="s">
        <v>671</v>
      </c>
      <c r="H19" s="52" t="s">
        <v>672</v>
      </c>
      <c r="I19" s="53" t="s">
        <v>594</v>
      </c>
    </row>
    <row r="20">
      <c r="A20" s="47">
        <v>18.0</v>
      </c>
      <c r="B20" s="47">
        <v>20.0</v>
      </c>
      <c r="C20" s="48" t="s">
        <v>673</v>
      </c>
      <c r="D20" s="49" t="s">
        <v>674</v>
      </c>
      <c r="E20" s="49" t="s">
        <v>675</v>
      </c>
      <c r="F20" s="50">
        <v>1.7432588E7</v>
      </c>
      <c r="G20" s="51" t="s">
        <v>676</v>
      </c>
      <c r="H20" s="52" t="s">
        <v>677</v>
      </c>
      <c r="I20" s="53" t="s">
        <v>594</v>
      </c>
    </row>
    <row r="21" ht="15.75" customHeight="1">
      <c r="A21" s="54">
        <v>19.0</v>
      </c>
      <c r="B21" s="47">
        <v>21.0</v>
      </c>
      <c r="C21" s="48" t="s">
        <v>678</v>
      </c>
      <c r="D21" s="49" t="s">
        <v>679</v>
      </c>
      <c r="E21" s="49" t="s">
        <v>680</v>
      </c>
      <c r="F21" s="50">
        <v>2.5738145E7</v>
      </c>
      <c r="G21" s="51" t="s">
        <v>681</v>
      </c>
      <c r="H21" s="52" t="s">
        <v>682</v>
      </c>
      <c r="I21" s="53" t="s">
        <v>594</v>
      </c>
    </row>
    <row r="22" ht="15.75" customHeight="1">
      <c r="A22" s="47">
        <v>20.0</v>
      </c>
      <c r="B22" s="47">
        <v>23.0</v>
      </c>
      <c r="C22" s="48" t="s">
        <v>683</v>
      </c>
      <c r="D22" s="49" t="s">
        <v>684</v>
      </c>
      <c r="E22" s="49" t="s">
        <v>685</v>
      </c>
      <c r="F22" s="50">
        <v>1.6391035E7</v>
      </c>
      <c r="G22" s="51" t="s">
        <v>686</v>
      </c>
      <c r="H22" s="52" t="s">
        <v>687</v>
      </c>
      <c r="I22" s="53" t="s">
        <v>594</v>
      </c>
    </row>
    <row r="23" ht="15.75" customHeight="1">
      <c r="A23" s="54">
        <v>21.0</v>
      </c>
      <c r="B23" s="47">
        <v>22.0</v>
      </c>
      <c r="C23" s="48" t="s">
        <v>688</v>
      </c>
      <c r="D23" s="49" t="s">
        <v>689</v>
      </c>
      <c r="E23" s="49" t="s">
        <v>690</v>
      </c>
      <c r="F23" s="50">
        <v>1.363632E7</v>
      </c>
      <c r="G23" s="51" t="s">
        <v>691</v>
      </c>
      <c r="H23" s="52" t="s">
        <v>692</v>
      </c>
      <c r="I23" s="53" t="s">
        <v>693</v>
      </c>
    </row>
    <row r="24" ht="15.75" customHeight="1">
      <c r="A24" s="47">
        <v>22.0</v>
      </c>
      <c r="B24" s="47">
        <v>24.0</v>
      </c>
      <c r="C24" s="48" t="s">
        <v>694</v>
      </c>
      <c r="D24" s="49" t="s">
        <v>695</v>
      </c>
      <c r="E24" s="49" t="s">
        <v>696</v>
      </c>
      <c r="F24" s="50">
        <v>1.7960349E7</v>
      </c>
      <c r="G24" s="51" t="s">
        <v>697</v>
      </c>
      <c r="H24" s="52" t="s">
        <v>698</v>
      </c>
      <c r="I24" s="53" t="s">
        <v>699</v>
      </c>
    </row>
    <row r="25" ht="15.75" customHeight="1">
      <c r="A25" s="54">
        <v>23.0</v>
      </c>
      <c r="B25" s="47">
        <v>25.0</v>
      </c>
      <c r="C25" s="48" t="s">
        <v>700</v>
      </c>
      <c r="D25" s="49" t="s">
        <v>701</v>
      </c>
      <c r="E25" s="49" t="s">
        <v>702</v>
      </c>
      <c r="F25" s="50">
        <v>2.6111538E7</v>
      </c>
      <c r="G25" s="51" t="s">
        <v>703</v>
      </c>
      <c r="H25" s="52" t="s">
        <v>704</v>
      </c>
      <c r="I25" s="53" t="s">
        <v>705</v>
      </c>
    </row>
    <row r="26" ht="15.75" customHeight="1">
      <c r="A26" s="47">
        <v>24.0</v>
      </c>
      <c r="B26" s="47">
        <v>26.0</v>
      </c>
      <c r="C26" s="48" t="s">
        <v>706</v>
      </c>
      <c r="D26" s="49" t="s">
        <v>707</v>
      </c>
      <c r="E26" s="49" t="s">
        <v>708</v>
      </c>
      <c r="F26" s="50">
        <v>2.3077581E7</v>
      </c>
      <c r="G26" s="51" t="s">
        <v>709</v>
      </c>
      <c r="H26" s="52" t="s">
        <v>710</v>
      </c>
      <c r="I26" s="53" t="s">
        <v>594</v>
      </c>
    </row>
    <row r="27" ht="15.75" customHeight="1">
      <c r="A27" s="40">
        <v>25.0</v>
      </c>
      <c r="B27" s="56">
        <v>27.0</v>
      </c>
      <c r="C27" s="57" t="s">
        <v>711</v>
      </c>
      <c r="D27" s="58" t="s">
        <v>712</v>
      </c>
      <c r="E27" s="58" t="s">
        <v>713</v>
      </c>
      <c r="F27" s="59">
        <v>1.4996174E7</v>
      </c>
      <c r="G27" s="60" t="s">
        <v>714</v>
      </c>
      <c r="H27" s="61" t="s">
        <v>715</v>
      </c>
      <c r="I27" s="46" t="s">
        <v>588</v>
      </c>
    </row>
    <row r="28" ht="15.75" customHeight="1">
      <c r="A28" s="47">
        <v>26.0</v>
      </c>
      <c r="B28" s="47">
        <v>28.0</v>
      </c>
      <c r="C28" s="48" t="s">
        <v>716</v>
      </c>
      <c r="D28" s="49" t="s">
        <v>717</v>
      </c>
      <c r="E28" s="49" t="s">
        <v>718</v>
      </c>
      <c r="F28" s="50">
        <v>1.3905776E7</v>
      </c>
      <c r="G28" s="51" t="s">
        <v>719</v>
      </c>
      <c r="H28" s="52" t="s">
        <v>720</v>
      </c>
      <c r="I28" s="53" t="s">
        <v>594</v>
      </c>
    </row>
    <row r="29" ht="15.75" customHeight="1">
      <c r="A29" s="54">
        <v>27.0</v>
      </c>
      <c r="B29" s="47">
        <v>29.0</v>
      </c>
      <c r="C29" s="48" t="s">
        <v>721</v>
      </c>
      <c r="D29" s="49" t="s">
        <v>722</v>
      </c>
      <c r="E29" s="49" t="s">
        <v>723</v>
      </c>
      <c r="F29" s="50">
        <v>1.864232E7</v>
      </c>
      <c r="G29" s="51" t="s">
        <v>724</v>
      </c>
      <c r="H29" s="52" t="s">
        <v>725</v>
      </c>
      <c r="I29" s="53" t="s">
        <v>726</v>
      </c>
    </row>
    <row r="30" ht="15.75" customHeight="1">
      <c r="A30" s="47">
        <v>28.0</v>
      </c>
      <c r="B30" s="47">
        <v>30.0</v>
      </c>
      <c r="C30" s="48" t="s">
        <v>727</v>
      </c>
      <c r="D30" s="49" t="s">
        <v>728</v>
      </c>
      <c r="E30" s="49" t="s">
        <v>729</v>
      </c>
      <c r="F30" s="50">
        <v>1.3904494E7</v>
      </c>
      <c r="G30" s="51" t="s">
        <v>730</v>
      </c>
      <c r="H30" s="52" t="s">
        <v>731</v>
      </c>
      <c r="I30" s="53" t="s">
        <v>594</v>
      </c>
    </row>
    <row r="31" ht="15.75" customHeight="1">
      <c r="A31" s="54">
        <v>29.0</v>
      </c>
      <c r="B31" s="47">
        <v>31.0</v>
      </c>
      <c r="C31" s="48" t="s">
        <v>732</v>
      </c>
      <c r="D31" s="49" t="s">
        <v>733</v>
      </c>
      <c r="E31" s="49" t="s">
        <v>734</v>
      </c>
      <c r="F31" s="50">
        <v>1.2357585E7</v>
      </c>
      <c r="G31" s="51" t="s">
        <v>735</v>
      </c>
      <c r="H31" s="52" t="s">
        <v>736</v>
      </c>
      <c r="I31" s="53" t="s">
        <v>594</v>
      </c>
    </row>
    <row r="32" ht="15.75" customHeight="1">
      <c r="A32" s="56">
        <v>30.0</v>
      </c>
      <c r="B32" s="56">
        <v>33.0</v>
      </c>
      <c r="C32" s="57" t="s">
        <v>737</v>
      </c>
      <c r="D32" s="58" t="s">
        <v>738</v>
      </c>
      <c r="E32" s="58" t="s">
        <v>739</v>
      </c>
      <c r="F32" s="59">
        <v>1.4237157E7</v>
      </c>
      <c r="G32" s="60" t="s">
        <v>740</v>
      </c>
      <c r="H32" s="61" t="s">
        <v>741</v>
      </c>
      <c r="I32" s="46" t="s">
        <v>588</v>
      </c>
    </row>
    <row r="33" ht="15.75" customHeight="1">
      <c r="A33" s="54">
        <v>31.0</v>
      </c>
      <c r="B33" s="47">
        <v>34.0</v>
      </c>
      <c r="C33" s="48" t="s">
        <v>742</v>
      </c>
      <c r="D33" s="49" t="s">
        <v>743</v>
      </c>
      <c r="E33" s="49" t="s">
        <v>744</v>
      </c>
      <c r="F33" s="50">
        <v>1.3636507E7</v>
      </c>
      <c r="G33" s="51" t="s">
        <v>745</v>
      </c>
      <c r="H33" s="52" t="s">
        <v>746</v>
      </c>
      <c r="I33" s="53" t="s">
        <v>594</v>
      </c>
    </row>
    <row r="34" ht="15.75" customHeight="1">
      <c r="A34" s="47">
        <v>32.0</v>
      </c>
      <c r="B34" s="47">
        <v>35.0</v>
      </c>
      <c r="C34" s="48" t="s">
        <v>747</v>
      </c>
      <c r="D34" s="49" t="s">
        <v>748</v>
      </c>
      <c r="E34" s="49" t="s">
        <v>749</v>
      </c>
      <c r="F34" s="50">
        <v>1.7056725E7</v>
      </c>
      <c r="G34" s="51" t="s">
        <v>750</v>
      </c>
      <c r="H34" s="52" t="s">
        <v>751</v>
      </c>
      <c r="I34" s="53" t="s">
        <v>636</v>
      </c>
    </row>
    <row r="35" ht="15.75" customHeight="1">
      <c r="A35" s="54">
        <v>33.0</v>
      </c>
      <c r="B35" s="47">
        <v>36.0</v>
      </c>
      <c r="C35" s="48" t="s">
        <v>752</v>
      </c>
      <c r="D35" s="49" t="s">
        <v>753</v>
      </c>
      <c r="E35" s="49" t="s">
        <v>754</v>
      </c>
      <c r="F35" s="50">
        <v>1.7248215E7</v>
      </c>
      <c r="G35" s="51" t="s">
        <v>755</v>
      </c>
      <c r="H35" s="52" t="s">
        <v>756</v>
      </c>
      <c r="I35" s="53" t="s">
        <v>594</v>
      </c>
    </row>
    <row r="36" ht="15.75" customHeight="1">
      <c r="A36" s="56">
        <v>34.0</v>
      </c>
      <c r="B36" s="56">
        <v>37.0</v>
      </c>
      <c r="C36" s="57" t="s">
        <v>757</v>
      </c>
      <c r="D36" s="58" t="s">
        <v>758</v>
      </c>
      <c r="E36" s="58" t="s">
        <v>759</v>
      </c>
      <c r="F36" s="59">
        <v>1.1426862E7</v>
      </c>
      <c r="G36" s="60" t="s">
        <v>760</v>
      </c>
      <c r="H36" s="61" t="s">
        <v>682</v>
      </c>
      <c r="I36" s="46" t="s">
        <v>588</v>
      </c>
    </row>
    <row r="37" ht="15.75" customHeight="1">
      <c r="A37" s="54">
        <v>35.0</v>
      </c>
      <c r="B37" s="47">
        <v>39.0</v>
      </c>
      <c r="C37" s="48" t="s">
        <v>761</v>
      </c>
      <c r="D37" s="49" t="s">
        <v>762</v>
      </c>
      <c r="E37" s="49" t="s">
        <v>763</v>
      </c>
      <c r="F37" s="50">
        <v>2.2038784E7</v>
      </c>
      <c r="G37" s="51" t="s">
        <v>764</v>
      </c>
      <c r="H37" s="52" t="s">
        <v>765</v>
      </c>
      <c r="I37" s="53" t="s">
        <v>594</v>
      </c>
    </row>
    <row r="38" ht="15.75" customHeight="1">
      <c r="A38" s="47">
        <v>36.0</v>
      </c>
      <c r="B38" s="47">
        <v>40.0</v>
      </c>
      <c r="C38" s="48" t="s">
        <v>766</v>
      </c>
      <c r="D38" s="49" t="s">
        <v>767</v>
      </c>
      <c r="E38" s="49" t="s">
        <v>768</v>
      </c>
      <c r="F38" s="50">
        <v>2.9641114E7</v>
      </c>
      <c r="G38" s="51" t="s">
        <v>769</v>
      </c>
      <c r="H38" s="52" t="s">
        <v>770</v>
      </c>
      <c r="I38" s="53" t="s">
        <v>594</v>
      </c>
    </row>
    <row r="39" ht="15.75" customHeight="1">
      <c r="A39" s="54">
        <v>37.0</v>
      </c>
      <c r="B39" s="47">
        <v>41.0</v>
      </c>
      <c r="C39" s="48" t="s">
        <v>771</v>
      </c>
      <c r="D39" s="49" t="s">
        <v>772</v>
      </c>
      <c r="E39" s="49" t="s">
        <v>773</v>
      </c>
      <c r="F39" s="50">
        <v>2.0090581E7</v>
      </c>
      <c r="G39" s="51" t="s">
        <v>774</v>
      </c>
      <c r="H39" s="52" t="s">
        <v>775</v>
      </c>
      <c r="I39" s="53" t="s">
        <v>594</v>
      </c>
    </row>
    <row r="40" ht="15.75" customHeight="1">
      <c r="A40" s="47">
        <v>38.0</v>
      </c>
      <c r="B40" s="47">
        <v>42.0</v>
      </c>
      <c r="C40" s="48" t="s">
        <v>776</v>
      </c>
      <c r="D40" s="49" t="s">
        <v>777</v>
      </c>
      <c r="E40" s="49" t="s">
        <v>778</v>
      </c>
      <c r="F40" s="50">
        <v>1.4662787E7</v>
      </c>
      <c r="G40" s="51" t="s">
        <v>779</v>
      </c>
      <c r="H40" s="52" t="s">
        <v>780</v>
      </c>
      <c r="I40" s="53" t="s">
        <v>781</v>
      </c>
    </row>
    <row r="41" ht="15.75" customHeight="1">
      <c r="A41" s="40">
        <v>39.0</v>
      </c>
      <c r="B41" s="56">
        <v>43.0</v>
      </c>
      <c r="C41" s="57" t="s">
        <v>782</v>
      </c>
      <c r="D41" s="58" t="s">
        <v>783</v>
      </c>
      <c r="E41" s="58" t="s">
        <v>784</v>
      </c>
      <c r="F41" s="59">
        <v>1.3517114E7</v>
      </c>
      <c r="G41" s="60" t="s">
        <v>785</v>
      </c>
      <c r="H41" s="61" t="s">
        <v>786</v>
      </c>
      <c r="I41" s="46" t="s">
        <v>588</v>
      </c>
    </row>
    <row r="42" ht="15.75" customHeight="1">
      <c r="A42" s="56">
        <v>40.0</v>
      </c>
      <c r="B42" s="56">
        <v>44.0</v>
      </c>
      <c r="C42" s="57" t="s">
        <v>787</v>
      </c>
      <c r="D42" s="58" t="s">
        <v>788</v>
      </c>
      <c r="E42" s="58" t="s">
        <v>789</v>
      </c>
      <c r="F42" s="59">
        <v>1.4237858E7</v>
      </c>
      <c r="G42" s="60" t="s">
        <v>790</v>
      </c>
      <c r="H42" s="61" t="s">
        <v>791</v>
      </c>
      <c r="I42" s="46" t="s">
        <v>588</v>
      </c>
    </row>
    <row r="43" ht="15.75" customHeight="1">
      <c r="A43" s="54">
        <v>41.0</v>
      </c>
      <c r="B43" s="47">
        <v>46.0</v>
      </c>
      <c r="C43" s="48" t="s">
        <v>792</v>
      </c>
      <c r="D43" s="48" t="s">
        <v>793</v>
      </c>
      <c r="E43" s="49" t="s">
        <v>794</v>
      </c>
      <c r="F43" s="50">
        <v>2.8089792E7</v>
      </c>
      <c r="G43" s="51" t="s">
        <v>795</v>
      </c>
      <c r="H43" s="52" t="s">
        <v>796</v>
      </c>
      <c r="I43" s="53" t="s">
        <v>594</v>
      </c>
    </row>
    <row r="44" ht="15.75" customHeight="1">
      <c r="A44" s="47">
        <v>42.0</v>
      </c>
      <c r="B44" s="47">
        <v>48.0</v>
      </c>
      <c r="C44" s="48" t="s">
        <v>797</v>
      </c>
      <c r="D44" s="49" t="s">
        <v>798</v>
      </c>
      <c r="E44" s="49" t="s">
        <v>799</v>
      </c>
      <c r="F44" s="50">
        <v>5878087.0</v>
      </c>
      <c r="G44" s="51" t="s">
        <v>800</v>
      </c>
      <c r="H44" s="52" t="s">
        <v>801</v>
      </c>
      <c r="I44" s="53" t="s">
        <v>594</v>
      </c>
    </row>
    <row r="45" ht="15.75" customHeight="1">
      <c r="A45" s="40">
        <v>43.0</v>
      </c>
      <c r="B45" s="56">
        <v>49.0</v>
      </c>
      <c r="C45" s="57" t="s">
        <v>802</v>
      </c>
      <c r="D45" s="58" t="s">
        <v>803</v>
      </c>
      <c r="E45" s="58" t="s">
        <v>804</v>
      </c>
      <c r="F45" s="59">
        <v>3.9862854E7</v>
      </c>
      <c r="G45" s="60" t="s">
        <v>805</v>
      </c>
      <c r="H45" s="61" t="s">
        <v>806</v>
      </c>
      <c r="I45" s="46" t="s">
        <v>588</v>
      </c>
    </row>
    <row r="46" ht="15.75" customHeight="1">
      <c r="A46" s="47">
        <v>44.0</v>
      </c>
      <c r="B46" s="47">
        <v>50.0</v>
      </c>
      <c r="C46" s="48" t="s">
        <v>807</v>
      </c>
      <c r="D46" s="49" t="s">
        <v>808</v>
      </c>
      <c r="E46" s="49" t="s">
        <v>809</v>
      </c>
      <c r="F46" s="50">
        <v>2.4045502E7</v>
      </c>
      <c r="G46" s="51" t="s">
        <v>810</v>
      </c>
      <c r="H46" s="52" t="s">
        <v>811</v>
      </c>
      <c r="I46" s="53" t="s">
        <v>705</v>
      </c>
    </row>
    <row r="47" ht="15.75" customHeight="1">
      <c r="A47" s="54">
        <v>45.0</v>
      </c>
      <c r="B47" s="47">
        <v>51.0</v>
      </c>
      <c r="C47" s="48" t="s">
        <v>812</v>
      </c>
      <c r="D47" s="49" t="s">
        <v>813</v>
      </c>
      <c r="E47" s="49" t="s">
        <v>814</v>
      </c>
      <c r="F47" s="50">
        <v>2.6176123E7</v>
      </c>
      <c r="G47" s="51" t="s">
        <v>815</v>
      </c>
      <c r="H47" s="52" t="s">
        <v>816</v>
      </c>
      <c r="I47" s="53" t="s">
        <v>625</v>
      </c>
    </row>
    <row r="48" ht="15.75" customHeight="1">
      <c r="A48" s="47">
        <v>46.0</v>
      </c>
      <c r="B48" s="62">
        <v>52.0</v>
      </c>
      <c r="C48" s="63" t="s">
        <v>817</v>
      </c>
      <c r="D48" s="64" t="s">
        <v>818</v>
      </c>
      <c r="E48" s="64" t="s">
        <v>819</v>
      </c>
      <c r="F48" s="65">
        <v>2.3230552E7</v>
      </c>
      <c r="G48" s="66" t="s">
        <v>820</v>
      </c>
      <c r="H48" s="67" t="s">
        <v>821</v>
      </c>
      <c r="I48" s="53" t="s">
        <v>705</v>
      </c>
    </row>
    <row r="49" ht="15.75" customHeight="1">
      <c r="A49" s="68" t="s">
        <v>574</v>
      </c>
      <c r="B49" s="69" t="s">
        <v>575</v>
      </c>
      <c r="C49" s="70" t="s">
        <v>576</v>
      </c>
      <c r="D49" s="70" t="s">
        <v>577</v>
      </c>
      <c r="E49" s="70" t="s">
        <v>578</v>
      </c>
      <c r="F49" s="71" t="s">
        <v>579</v>
      </c>
      <c r="G49" s="71" t="s">
        <v>580</v>
      </c>
      <c r="H49" s="72" t="s">
        <v>581</v>
      </c>
      <c r="I49" s="39" t="s">
        <v>822</v>
      </c>
    </row>
    <row r="50" ht="15.75" customHeight="1">
      <c r="A50" s="47">
        <v>47.0</v>
      </c>
      <c r="B50" s="54">
        <v>53.0</v>
      </c>
      <c r="C50" s="73" t="s">
        <v>823</v>
      </c>
      <c r="D50" s="74" t="s">
        <v>824</v>
      </c>
      <c r="E50" s="74" t="s">
        <v>825</v>
      </c>
      <c r="F50" s="75">
        <v>2.1307275E7</v>
      </c>
      <c r="G50" s="76" t="s">
        <v>826</v>
      </c>
      <c r="H50" s="77" t="s">
        <v>827</v>
      </c>
      <c r="I50" s="53" t="s">
        <v>828</v>
      </c>
    </row>
    <row r="51" ht="15.75" customHeight="1">
      <c r="A51" s="47">
        <v>48.0</v>
      </c>
      <c r="B51" s="47">
        <v>54.0</v>
      </c>
      <c r="C51" s="48" t="s">
        <v>829</v>
      </c>
      <c r="D51" s="49" t="s">
        <v>830</v>
      </c>
      <c r="E51" s="49" t="s">
        <v>831</v>
      </c>
      <c r="F51" s="50">
        <v>1.8295837E7</v>
      </c>
      <c r="G51" s="51" t="s">
        <v>832</v>
      </c>
      <c r="H51" s="52" t="s">
        <v>833</v>
      </c>
      <c r="I51" s="53" t="s">
        <v>594</v>
      </c>
    </row>
    <row r="52" ht="15.75" customHeight="1">
      <c r="A52" s="47">
        <v>49.0</v>
      </c>
      <c r="B52" s="47">
        <v>55.0</v>
      </c>
      <c r="C52" s="48" t="s">
        <v>834</v>
      </c>
      <c r="D52" s="49" t="s">
        <v>835</v>
      </c>
      <c r="E52" s="49" t="s">
        <v>836</v>
      </c>
      <c r="F52" s="50">
        <v>1.7248344E7</v>
      </c>
      <c r="G52" s="51" t="s">
        <v>837</v>
      </c>
      <c r="H52" s="52" t="s">
        <v>838</v>
      </c>
      <c r="I52" s="53" t="s">
        <v>594</v>
      </c>
    </row>
    <row r="53" ht="15.75" customHeight="1">
      <c r="A53" s="47">
        <v>50.0</v>
      </c>
      <c r="B53" s="47">
        <v>56.0</v>
      </c>
      <c r="C53" s="48" t="s">
        <v>839</v>
      </c>
      <c r="D53" s="49" t="s">
        <v>840</v>
      </c>
      <c r="E53" s="49" t="s">
        <v>841</v>
      </c>
      <c r="F53" s="50">
        <v>3.312527E7</v>
      </c>
      <c r="G53" s="51" t="s">
        <v>842</v>
      </c>
      <c r="H53" s="52" t="s">
        <v>843</v>
      </c>
      <c r="I53" s="53" t="s">
        <v>625</v>
      </c>
    </row>
    <row r="54" ht="15.75" customHeight="1">
      <c r="A54" s="56">
        <v>51.0</v>
      </c>
      <c r="B54" s="56">
        <v>57.0</v>
      </c>
      <c r="C54" s="57" t="s">
        <v>844</v>
      </c>
      <c r="D54" s="58" t="s">
        <v>845</v>
      </c>
      <c r="E54" s="58" t="s">
        <v>846</v>
      </c>
      <c r="F54" s="59">
        <v>1.4237151E7</v>
      </c>
      <c r="G54" s="60" t="s">
        <v>847</v>
      </c>
      <c r="H54" s="61" t="s">
        <v>848</v>
      </c>
      <c r="I54" s="46" t="s">
        <v>588</v>
      </c>
    </row>
    <row r="55" ht="15.75" customHeight="1">
      <c r="A55" s="47">
        <v>52.0</v>
      </c>
      <c r="B55" s="47">
        <v>58.0</v>
      </c>
      <c r="C55" s="48" t="s">
        <v>849</v>
      </c>
      <c r="D55" s="49" t="s">
        <v>850</v>
      </c>
      <c r="E55" s="49" t="s">
        <v>644</v>
      </c>
      <c r="F55" s="50">
        <v>3.28745E7</v>
      </c>
      <c r="G55" s="51" t="s">
        <v>851</v>
      </c>
      <c r="H55" s="52" t="s">
        <v>852</v>
      </c>
      <c r="I55" s="53" t="s">
        <v>853</v>
      </c>
    </row>
    <row r="56" ht="15.75" customHeight="1">
      <c r="A56" s="47">
        <v>53.0</v>
      </c>
      <c r="B56" s="47">
        <v>59.0</v>
      </c>
      <c r="C56" s="48" t="s">
        <v>854</v>
      </c>
      <c r="D56" s="49" t="s">
        <v>855</v>
      </c>
      <c r="E56" s="49" t="s">
        <v>856</v>
      </c>
      <c r="F56" s="50">
        <v>1.6357193E7</v>
      </c>
      <c r="G56" s="51" t="s">
        <v>857</v>
      </c>
      <c r="H56" s="52" t="s">
        <v>858</v>
      </c>
      <c r="I56" s="53" t="s">
        <v>705</v>
      </c>
    </row>
    <row r="57" ht="15.75" customHeight="1">
      <c r="A57" s="47">
        <v>54.0</v>
      </c>
      <c r="B57" s="47">
        <v>60.0</v>
      </c>
      <c r="C57" s="48" t="s">
        <v>859</v>
      </c>
      <c r="D57" s="49" t="s">
        <v>860</v>
      </c>
      <c r="E57" s="49" t="s">
        <v>861</v>
      </c>
      <c r="F57" s="50">
        <v>3.0517832E7</v>
      </c>
      <c r="G57" s="51" t="s">
        <v>862</v>
      </c>
      <c r="H57" s="52" t="s">
        <v>863</v>
      </c>
      <c r="I57" s="53" t="s">
        <v>594</v>
      </c>
    </row>
    <row r="58" ht="15.75" customHeight="1">
      <c r="A58" s="47">
        <v>55.0</v>
      </c>
      <c r="B58" s="47">
        <v>61.0</v>
      </c>
      <c r="C58" s="48" t="s">
        <v>864</v>
      </c>
      <c r="D58" s="49" t="s">
        <v>865</v>
      </c>
      <c r="E58" s="49" t="s">
        <v>866</v>
      </c>
      <c r="F58" s="50">
        <v>1.2867697E7</v>
      </c>
      <c r="G58" s="51" t="s">
        <v>867</v>
      </c>
      <c r="H58" s="52" t="s">
        <v>868</v>
      </c>
      <c r="I58" s="53" t="s">
        <v>594</v>
      </c>
    </row>
    <row r="59" ht="15.75" customHeight="1">
      <c r="A59" s="56">
        <v>56.0</v>
      </c>
      <c r="B59" s="56">
        <v>62.0</v>
      </c>
      <c r="C59" s="57" t="s">
        <v>869</v>
      </c>
      <c r="D59" s="58" t="s">
        <v>870</v>
      </c>
      <c r="E59" s="58" t="s">
        <v>871</v>
      </c>
      <c r="F59" s="59">
        <v>3.831247E7</v>
      </c>
      <c r="G59" s="60" t="s">
        <v>872</v>
      </c>
      <c r="H59" s="61" t="s">
        <v>873</v>
      </c>
      <c r="I59" s="46" t="s">
        <v>588</v>
      </c>
    </row>
    <row r="60" ht="15.75" customHeight="1">
      <c r="A60" s="56">
        <v>57.0</v>
      </c>
      <c r="B60" s="56">
        <v>63.0</v>
      </c>
      <c r="C60" s="57" t="s">
        <v>874</v>
      </c>
      <c r="D60" s="58" t="s">
        <v>875</v>
      </c>
      <c r="E60" s="58" t="s">
        <v>876</v>
      </c>
      <c r="F60" s="59">
        <v>1.2539806E7</v>
      </c>
      <c r="G60" s="60" t="s">
        <v>877</v>
      </c>
      <c r="H60" s="61" t="s">
        <v>878</v>
      </c>
      <c r="I60" s="46" t="s">
        <v>588</v>
      </c>
    </row>
    <row r="61" ht="15.75" customHeight="1">
      <c r="A61" s="47">
        <v>58.0</v>
      </c>
      <c r="B61" s="47">
        <v>64.0</v>
      </c>
      <c r="C61" s="48" t="s">
        <v>879</v>
      </c>
      <c r="D61" s="49" t="s">
        <v>880</v>
      </c>
      <c r="E61" s="49" t="s">
        <v>881</v>
      </c>
      <c r="F61" s="50">
        <v>2.3077048E7</v>
      </c>
      <c r="G61" s="51" t="s">
        <v>882</v>
      </c>
      <c r="H61" s="52" t="s">
        <v>883</v>
      </c>
      <c r="I61" s="53" t="s">
        <v>705</v>
      </c>
    </row>
    <row r="62" ht="15.75" customHeight="1">
      <c r="A62" s="56">
        <v>59.0</v>
      </c>
      <c r="B62" s="56">
        <v>65.0</v>
      </c>
      <c r="C62" s="57" t="s">
        <v>884</v>
      </c>
      <c r="D62" s="58" t="s">
        <v>885</v>
      </c>
      <c r="E62" s="58" t="s">
        <v>886</v>
      </c>
      <c r="F62" s="59">
        <v>2.4033837E7</v>
      </c>
      <c r="G62" s="60" t="s">
        <v>887</v>
      </c>
      <c r="H62" s="61" t="s">
        <v>888</v>
      </c>
      <c r="I62" s="46" t="s">
        <v>588</v>
      </c>
    </row>
    <row r="63" ht="15.75" customHeight="1">
      <c r="A63" s="47">
        <v>60.0</v>
      </c>
      <c r="B63" s="47">
        <v>66.0</v>
      </c>
      <c r="C63" s="48" t="s">
        <v>889</v>
      </c>
      <c r="D63" s="49" t="s">
        <v>890</v>
      </c>
      <c r="E63" s="49" t="s">
        <v>891</v>
      </c>
      <c r="F63" s="50">
        <v>1.6760049E7</v>
      </c>
      <c r="G63" s="52" t="s">
        <v>892</v>
      </c>
      <c r="H63" s="51" t="s">
        <v>893</v>
      </c>
      <c r="I63" s="53" t="s">
        <v>894</v>
      </c>
    </row>
    <row r="64" ht="15.75" customHeight="1">
      <c r="A64" s="56">
        <v>61.0</v>
      </c>
      <c r="B64" s="56">
        <v>68.0</v>
      </c>
      <c r="C64" s="57" t="s">
        <v>895</v>
      </c>
      <c r="D64" s="58" t="s">
        <v>896</v>
      </c>
      <c r="E64" s="58" t="s">
        <v>897</v>
      </c>
      <c r="F64" s="59">
        <v>2.7223336E7</v>
      </c>
      <c r="G64" s="60" t="s">
        <v>898</v>
      </c>
      <c r="H64" s="61" t="s">
        <v>899</v>
      </c>
      <c r="I64" s="46" t="s">
        <v>588</v>
      </c>
    </row>
    <row r="65" ht="15.75" customHeight="1">
      <c r="A65" s="56">
        <v>62.0</v>
      </c>
      <c r="B65" s="56">
        <v>69.0</v>
      </c>
      <c r="C65" s="57" t="s">
        <v>900</v>
      </c>
      <c r="D65" s="58" t="s">
        <v>901</v>
      </c>
      <c r="E65" s="58" t="s">
        <v>902</v>
      </c>
      <c r="F65" s="59">
        <v>2.2019659E7</v>
      </c>
      <c r="G65" s="60" t="s">
        <v>903</v>
      </c>
      <c r="H65" s="61" t="s">
        <v>904</v>
      </c>
      <c r="I65" s="46" t="s">
        <v>588</v>
      </c>
    </row>
    <row r="66" ht="15.75" customHeight="1">
      <c r="A66" s="47">
        <v>63.0</v>
      </c>
      <c r="B66" s="55">
        <v>70.0</v>
      </c>
      <c r="C66" s="48" t="s">
        <v>905</v>
      </c>
      <c r="D66" s="49" t="s">
        <v>906</v>
      </c>
      <c r="E66" s="49" t="s">
        <v>907</v>
      </c>
      <c r="F66" s="50">
        <v>1.6065076E7</v>
      </c>
      <c r="G66" s="51" t="s">
        <v>908</v>
      </c>
      <c r="H66" s="52" t="s">
        <v>909</v>
      </c>
      <c r="I66" s="53" t="s">
        <v>594</v>
      </c>
    </row>
    <row r="67" ht="15.75" customHeight="1">
      <c r="A67" s="47">
        <v>64.0</v>
      </c>
      <c r="B67" s="47">
        <v>72.0</v>
      </c>
      <c r="C67" s="48" t="s">
        <v>910</v>
      </c>
      <c r="D67" s="49" t="s">
        <v>911</v>
      </c>
      <c r="E67" s="49" t="s">
        <v>912</v>
      </c>
      <c r="F67" s="51">
        <v>1.2686363E7</v>
      </c>
      <c r="G67" s="51" t="s">
        <v>719</v>
      </c>
      <c r="H67" s="52" t="s">
        <v>720</v>
      </c>
      <c r="I67" s="53" t="s">
        <v>594</v>
      </c>
    </row>
    <row r="68" ht="15.75" customHeight="1">
      <c r="A68" s="47">
        <v>65.0</v>
      </c>
      <c r="B68" s="55">
        <v>74.0</v>
      </c>
      <c r="C68" s="48" t="s">
        <v>913</v>
      </c>
      <c r="D68" s="49" t="s">
        <v>914</v>
      </c>
      <c r="E68" s="49" t="s">
        <v>915</v>
      </c>
      <c r="F68" s="51">
        <v>2.5621594E7</v>
      </c>
      <c r="G68" s="51" t="s">
        <v>916</v>
      </c>
      <c r="H68" s="52" t="s">
        <v>917</v>
      </c>
      <c r="I68" s="53" t="s">
        <v>918</v>
      </c>
    </row>
    <row r="69" ht="15.75" customHeight="1">
      <c r="A69" s="47">
        <v>66.0</v>
      </c>
      <c r="B69" s="47">
        <v>75.0</v>
      </c>
      <c r="C69" s="48" t="s">
        <v>919</v>
      </c>
      <c r="D69" s="49" t="s">
        <v>920</v>
      </c>
      <c r="E69" s="49" t="s">
        <v>921</v>
      </c>
      <c r="F69" s="50">
        <v>2.6504753E7</v>
      </c>
      <c r="G69" s="51" t="s">
        <v>922</v>
      </c>
      <c r="H69" s="52" t="s">
        <v>923</v>
      </c>
      <c r="I69" s="53" t="s">
        <v>594</v>
      </c>
    </row>
    <row r="70" ht="15.75" customHeight="1">
      <c r="A70" s="47">
        <v>67.0</v>
      </c>
      <c r="B70" s="47">
        <v>77.0</v>
      </c>
      <c r="C70" s="48" t="s">
        <v>924</v>
      </c>
      <c r="D70" s="49" t="s">
        <v>925</v>
      </c>
      <c r="E70" s="49" t="s">
        <v>926</v>
      </c>
      <c r="F70" s="50">
        <v>3.0614528E7</v>
      </c>
      <c r="G70" s="51" t="s">
        <v>927</v>
      </c>
      <c r="H70" s="52" t="s">
        <v>928</v>
      </c>
      <c r="I70" s="53" t="s">
        <v>705</v>
      </c>
    </row>
    <row r="71" ht="15.75" customHeight="1">
      <c r="A71" s="56">
        <v>68.0</v>
      </c>
      <c r="B71" s="56">
        <v>78.0</v>
      </c>
      <c r="C71" s="57" t="s">
        <v>514</v>
      </c>
      <c r="D71" s="58" t="s">
        <v>929</v>
      </c>
      <c r="E71" s="58" t="s">
        <v>930</v>
      </c>
      <c r="F71" s="59">
        <v>2.4937741E7</v>
      </c>
      <c r="G71" s="60" t="s">
        <v>931</v>
      </c>
      <c r="H71" s="61" t="s">
        <v>932</v>
      </c>
      <c r="I71" s="46" t="s">
        <v>588</v>
      </c>
    </row>
    <row r="72" ht="15.75" customHeight="1">
      <c r="A72" s="56">
        <v>69.0</v>
      </c>
      <c r="B72" s="56">
        <v>79.0</v>
      </c>
      <c r="C72" s="57" t="s">
        <v>933</v>
      </c>
      <c r="D72" s="58" t="s">
        <v>934</v>
      </c>
      <c r="E72" s="58" t="s">
        <v>935</v>
      </c>
      <c r="F72" s="59">
        <v>2.7189272E7</v>
      </c>
      <c r="G72" s="60" t="s">
        <v>936</v>
      </c>
      <c r="H72" s="61" t="s">
        <v>937</v>
      </c>
      <c r="I72" s="46" t="s">
        <v>588</v>
      </c>
    </row>
    <row r="73" ht="15.75" customHeight="1">
      <c r="A73" s="47">
        <v>70.0</v>
      </c>
      <c r="B73" s="47">
        <v>80.0</v>
      </c>
      <c r="C73" s="48" t="s">
        <v>938</v>
      </c>
      <c r="D73" s="49" t="s">
        <v>939</v>
      </c>
      <c r="E73" s="49" t="s">
        <v>940</v>
      </c>
      <c r="F73" s="50">
        <v>1.4939264E7</v>
      </c>
      <c r="G73" s="51" t="s">
        <v>941</v>
      </c>
      <c r="H73" s="52" t="s">
        <v>942</v>
      </c>
      <c r="I73" s="53" t="s">
        <v>594</v>
      </c>
    </row>
    <row r="74" ht="15.75" customHeight="1">
      <c r="A74" s="47">
        <v>71.0</v>
      </c>
      <c r="B74" s="47">
        <v>81.0</v>
      </c>
      <c r="C74" s="48" t="s">
        <v>943</v>
      </c>
      <c r="D74" s="49" t="s">
        <v>944</v>
      </c>
      <c r="E74" s="49" t="s">
        <v>945</v>
      </c>
      <c r="F74" s="50">
        <v>2.6111835E7</v>
      </c>
      <c r="G74" s="51" t="s">
        <v>946</v>
      </c>
      <c r="H74" s="52" t="s">
        <v>947</v>
      </c>
      <c r="I74" s="53" t="s">
        <v>594</v>
      </c>
    </row>
    <row r="75" ht="15.75" customHeight="1">
      <c r="A75" s="47">
        <v>72.0</v>
      </c>
      <c r="B75" s="47">
        <v>82.0</v>
      </c>
      <c r="C75" s="48" t="s">
        <v>948</v>
      </c>
      <c r="D75" s="49" t="s">
        <v>949</v>
      </c>
      <c r="E75" s="49" t="s">
        <v>950</v>
      </c>
      <c r="F75" s="50">
        <v>1.286755E7</v>
      </c>
      <c r="G75" s="51" t="s">
        <v>951</v>
      </c>
      <c r="H75" s="52" t="s">
        <v>952</v>
      </c>
      <c r="I75" s="53" t="s">
        <v>594</v>
      </c>
    </row>
    <row r="76" ht="15.75" customHeight="1">
      <c r="A76" s="47">
        <v>73.0</v>
      </c>
      <c r="B76" s="47">
        <v>83.0</v>
      </c>
      <c r="C76" s="48" t="s">
        <v>953</v>
      </c>
      <c r="D76" s="49" t="s">
        <v>954</v>
      </c>
      <c r="E76" s="49" t="s">
        <v>955</v>
      </c>
      <c r="F76" s="50">
        <v>1.8132892E7</v>
      </c>
      <c r="G76" s="51" t="s">
        <v>956</v>
      </c>
      <c r="H76" s="52" t="s">
        <v>957</v>
      </c>
      <c r="I76" s="53" t="s">
        <v>594</v>
      </c>
    </row>
    <row r="77" ht="15.75" customHeight="1">
      <c r="A77" s="47">
        <v>74.0</v>
      </c>
      <c r="B77" s="47">
        <v>84.0</v>
      </c>
      <c r="C77" s="48" t="s">
        <v>958</v>
      </c>
      <c r="D77" s="49" t="s">
        <v>959</v>
      </c>
      <c r="E77" s="49" t="s">
        <v>960</v>
      </c>
      <c r="F77" s="50">
        <v>2.0091118E7</v>
      </c>
      <c r="G77" s="51" t="s">
        <v>961</v>
      </c>
      <c r="H77" s="52" t="s">
        <v>962</v>
      </c>
      <c r="I77" s="53" t="s">
        <v>594</v>
      </c>
    </row>
    <row r="78" ht="15.75" customHeight="1">
      <c r="A78" s="47">
        <v>75.0</v>
      </c>
      <c r="B78" s="47">
        <v>85.0</v>
      </c>
      <c r="C78" s="48" t="s">
        <v>963</v>
      </c>
      <c r="D78" s="49" t="s">
        <v>964</v>
      </c>
      <c r="E78" s="49" t="s">
        <v>965</v>
      </c>
      <c r="F78" s="50">
        <v>2.5052591E7</v>
      </c>
      <c r="G78" s="51" t="s">
        <v>966</v>
      </c>
      <c r="H78" s="52" t="s">
        <v>967</v>
      </c>
      <c r="I78" s="53" t="s">
        <v>594</v>
      </c>
    </row>
    <row r="79" ht="15.75" customHeight="1">
      <c r="A79" s="47">
        <v>76.0</v>
      </c>
      <c r="B79" s="47">
        <v>93.0</v>
      </c>
      <c r="C79" s="48" t="s">
        <v>968</v>
      </c>
      <c r="D79" s="49" t="s">
        <v>969</v>
      </c>
      <c r="E79" s="49" t="s">
        <v>970</v>
      </c>
      <c r="F79" s="51">
        <v>2.3076132E7</v>
      </c>
      <c r="G79" s="51" t="s">
        <v>971</v>
      </c>
      <c r="H79" s="52" t="s">
        <v>972</v>
      </c>
      <c r="I79" s="53" t="s">
        <v>594</v>
      </c>
    </row>
    <row r="80" ht="15.75" customHeight="1">
      <c r="A80" s="47">
        <v>77.0</v>
      </c>
      <c r="B80" s="47">
        <v>94.0</v>
      </c>
      <c r="C80" s="48" t="s">
        <v>973</v>
      </c>
      <c r="D80" s="49" t="s">
        <v>974</v>
      </c>
      <c r="E80" s="49" t="s">
        <v>975</v>
      </c>
      <c r="F80" s="51">
        <v>2.8303118E7</v>
      </c>
      <c r="G80" s="51" t="s">
        <v>976</v>
      </c>
      <c r="H80" s="52" t="s">
        <v>977</v>
      </c>
      <c r="I80" s="53" t="s">
        <v>594</v>
      </c>
    </row>
    <row r="81" ht="15.75" customHeight="1">
      <c r="A81" s="47">
        <v>78.0</v>
      </c>
      <c r="B81" s="47">
        <v>95.0</v>
      </c>
      <c r="C81" s="48" t="s">
        <v>978</v>
      </c>
      <c r="D81" s="49" t="s">
        <v>979</v>
      </c>
      <c r="E81" s="49" t="s">
        <v>980</v>
      </c>
      <c r="F81" s="50">
        <v>1.6357153E7</v>
      </c>
      <c r="G81" s="51" t="s">
        <v>981</v>
      </c>
      <c r="H81" s="52" t="s">
        <v>982</v>
      </c>
      <c r="I81" s="53" t="s">
        <v>705</v>
      </c>
    </row>
    <row r="82" ht="15.75" customHeight="1">
      <c r="A82" s="47">
        <v>79.0</v>
      </c>
      <c r="B82" s="47">
        <v>96.0</v>
      </c>
      <c r="C82" s="48" t="s">
        <v>983</v>
      </c>
      <c r="D82" s="49" t="s">
        <v>984</v>
      </c>
      <c r="E82" s="49" t="s">
        <v>985</v>
      </c>
      <c r="F82" s="50">
        <v>2.1827504E7</v>
      </c>
      <c r="G82" s="51" t="s">
        <v>986</v>
      </c>
      <c r="H82" s="52" t="s">
        <v>987</v>
      </c>
      <c r="I82" s="53" t="s">
        <v>705</v>
      </c>
    </row>
    <row r="83" ht="15.75" customHeight="1">
      <c r="A83" s="47">
        <v>80.0</v>
      </c>
      <c r="B83" s="47">
        <v>98.0</v>
      </c>
      <c r="C83" s="48" t="s">
        <v>583</v>
      </c>
      <c r="D83" s="49" t="s">
        <v>988</v>
      </c>
      <c r="E83" s="49" t="s">
        <v>989</v>
      </c>
      <c r="F83" s="50">
        <v>2.3247879E7</v>
      </c>
      <c r="G83" s="51" t="s">
        <v>715</v>
      </c>
      <c r="H83" s="52" t="s">
        <v>990</v>
      </c>
      <c r="I83" s="53" t="s">
        <v>594</v>
      </c>
    </row>
    <row r="84" ht="15.75" customHeight="1">
      <c r="A84" s="47">
        <v>81.0</v>
      </c>
      <c r="B84" s="47">
        <v>99.0</v>
      </c>
      <c r="C84" s="48" t="s">
        <v>991</v>
      </c>
      <c r="D84" s="49" t="s">
        <v>992</v>
      </c>
      <c r="E84" s="49" t="s">
        <v>993</v>
      </c>
      <c r="F84" s="50">
        <v>1.6769823E7</v>
      </c>
      <c r="G84" s="51" t="s">
        <v>994</v>
      </c>
      <c r="H84" s="52" t="s">
        <v>995</v>
      </c>
      <c r="I84" s="53" t="s">
        <v>594</v>
      </c>
    </row>
    <row r="85" ht="15.75" customHeight="1">
      <c r="A85" s="47">
        <v>82.0</v>
      </c>
      <c r="B85" s="47">
        <v>100.0</v>
      </c>
      <c r="C85" s="48" t="s">
        <v>996</v>
      </c>
      <c r="D85" s="49" t="s">
        <v>997</v>
      </c>
      <c r="E85" s="49" t="s">
        <v>998</v>
      </c>
      <c r="F85" s="50">
        <v>2.0266479E7</v>
      </c>
      <c r="G85" s="51" t="s">
        <v>999</v>
      </c>
      <c r="H85" s="52" t="s">
        <v>1000</v>
      </c>
      <c r="I85" s="53" t="s">
        <v>894</v>
      </c>
    </row>
    <row r="86" ht="15.75" customHeight="1">
      <c r="A86" s="47">
        <v>83.0</v>
      </c>
      <c r="B86" s="55">
        <v>101.0</v>
      </c>
      <c r="C86" s="48" t="s">
        <v>1001</v>
      </c>
      <c r="D86" s="49" t="s">
        <v>1002</v>
      </c>
      <c r="E86" s="49" t="s">
        <v>1003</v>
      </c>
      <c r="F86" s="50">
        <v>5416088.0</v>
      </c>
      <c r="G86" s="51" t="s">
        <v>1004</v>
      </c>
      <c r="H86" s="52" t="s">
        <v>1005</v>
      </c>
      <c r="I86" s="53" t="s">
        <v>594</v>
      </c>
    </row>
    <row r="87" ht="15.75" customHeight="1">
      <c r="A87" s="47">
        <v>84.0</v>
      </c>
      <c r="B87" s="55">
        <v>110.0</v>
      </c>
      <c r="C87" s="48" t="s">
        <v>1006</v>
      </c>
      <c r="D87" s="49" t="s">
        <v>1007</v>
      </c>
      <c r="E87" s="49" t="s">
        <v>1008</v>
      </c>
      <c r="F87" s="50">
        <v>3.4446348E7</v>
      </c>
      <c r="G87" s="51" t="s">
        <v>1009</v>
      </c>
      <c r="H87" s="52" t="s">
        <v>1010</v>
      </c>
      <c r="I87" s="53" t="s">
        <v>594</v>
      </c>
    </row>
    <row r="88" ht="15.75" customHeight="1">
      <c r="A88" s="47">
        <v>85.0</v>
      </c>
      <c r="B88" s="47" t="s">
        <v>1011</v>
      </c>
      <c r="C88" s="48" t="s">
        <v>1012</v>
      </c>
      <c r="D88" s="49" t="s">
        <v>1013</v>
      </c>
      <c r="E88" s="49" t="s">
        <v>1014</v>
      </c>
      <c r="F88" s="50">
        <v>3.6673496E7</v>
      </c>
      <c r="G88" s="51" t="s">
        <v>1015</v>
      </c>
      <c r="H88" s="52" t="s">
        <v>1016</v>
      </c>
      <c r="I88" s="53" t="s">
        <v>594</v>
      </c>
    </row>
    <row r="89" ht="15.75" customHeight="1">
      <c r="A89" s="47">
        <v>86.0</v>
      </c>
      <c r="B89" s="47" t="s">
        <v>1011</v>
      </c>
      <c r="C89" s="48" t="s">
        <v>1017</v>
      </c>
      <c r="D89" s="49" t="s">
        <v>1018</v>
      </c>
      <c r="E89" s="49" t="s">
        <v>1019</v>
      </c>
      <c r="F89" s="50">
        <v>2.4046917E7</v>
      </c>
      <c r="G89" s="51" t="s">
        <v>1020</v>
      </c>
      <c r="H89" s="52" t="s">
        <v>1021</v>
      </c>
      <c r="I89" s="53" t="s">
        <v>705</v>
      </c>
    </row>
    <row r="90" ht="15.75" customHeight="1">
      <c r="A90" s="47">
        <v>87.0</v>
      </c>
      <c r="B90" s="55" t="s">
        <v>1011</v>
      </c>
      <c r="C90" s="48" t="s">
        <v>1022</v>
      </c>
      <c r="D90" s="49" t="s">
        <v>1023</v>
      </c>
      <c r="E90" s="49" t="s">
        <v>1024</v>
      </c>
      <c r="F90" s="50">
        <v>1.1260626E7</v>
      </c>
      <c r="G90" s="51" t="s">
        <v>1025</v>
      </c>
      <c r="H90" s="52" t="s">
        <v>1026</v>
      </c>
      <c r="I90" s="53" t="s">
        <v>594</v>
      </c>
    </row>
    <row r="91" ht="15.75" customHeight="1">
      <c r="A91" s="47">
        <v>88.0</v>
      </c>
      <c r="B91" s="55" t="s">
        <v>1011</v>
      </c>
      <c r="C91" s="48" t="s">
        <v>1027</v>
      </c>
      <c r="D91" s="49" t="s">
        <v>1028</v>
      </c>
      <c r="E91" s="49" t="s">
        <v>1029</v>
      </c>
      <c r="F91" s="50">
        <v>3.2874341E7</v>
      </c>
      <c r="G91" s="51" t="s">
        <v>1030</v>
      </c>
      <c r="H91" s="52" t="s">
        <v>1026</v>
      </c>
      <c r="I91" s="53" t="s">
        <v>594</v>
      </c>
    </row>
    <row r="92" ht="15.75" customHeight="1">
      <c r="A92" s="47">
        <v>89.0</v>
      </c>
      <c r="B92" s="55" t="s">
        <v>1011</v>
      </c>
      <c r="C92" s="48" t="s">
        <v>1031</v>
      </c>
      <c r="D92" s="49" t="s">
        <v>1032</v>
      </c>
      <c r="E92" s="49" t="s">
        <v>1033</v>
      </c>
      <c r="F92" s="50">
        <v>1.4611773E7</v>
      </c>
      <c r="G92" s="51" t="s">
        <v>1034</v>
      </c>
      <c r="H92" s="52" t="s">
        <v>1035</v>
      </c>
      <c r="I92" s="53" t="s">
        <v>705</v>
      </c>
    </row>
    <row r="93" ht="15.75" customHeight="1">
      <c r="A93" s="47">
        <v>90.0</v>
      </c>
      <c r="B93" s="55" t="s">
        <v>1011</v>
      </c>
      <c r="C93" s="48" t="s">
        <v>1036</v>
      </c>
      <c r="D93" s="49" t="s">
        <v>1037</v>
      </c>
      <c r="E93" s="49" t="s">
        <v>1038</v>
      </c>
      <c r="F93" s="50">
        <v>1.83492E7</v>
      </c>
      <c r="G93" s="51" t="s">
        <v>1039</v>
      </c>
      <c r="H93" s="52" t="s">
        <v>1040</v>
      </c>
      <c r="I93" s="53" t="s">
        <v>594</v>
      </c>
    </row>
    <row r="94" ht="15.75" customHeight="1">
      <c r="A94" s="47">
        <v>91.0</v>
      </c>
      <c r="B94" s="55" t="s">
        <v>1011</v>
      </c>
      <c r="C94" s="48" t="s">
        <v>1041</v>
      </c>
      <c r="D94" s="49" t="s">
        <v>1042</v>
      </c>
      <c r="E94" s="49" t="s">
        <v>1043</v>
      </c>
      <c r="F94" s="50">
        <v>1.743257E7</v>
      </c>
      <c r="G94" s="51" t="s">
        <v>1044</v>
      </c>
      <c r="H94" s="52" t="s">
        <v>1045</v>
      </c>
      <c r="I94" s="53" t="s">
        <v>1046</v>
      </c>
    </row>
    <row r="95" ht="15.75" customHeight="1">
      <c r="A95" s="47">
        <v>92.0</v>
      </c>
      <c r="B95" s="55" t="s">
        <v>1011</v>
      </c>
      <c r="C95" s="48" t="s">
        <v>1047</v>
      </c>
      <c r="D95" s="49" t="s">
        <v>1048</v>
      </c>
      <c r="E95" s="49" t="s">
        <v>1049</v>
      </c>
      <c r="F95" s="50" t="s">
        <v>1050</v>
      </c>
      <c r="G95" s="51" t="s">
        <v>1051</v>
      </c>
      <c r="H95" s="52" t="s">
        <v>1052</v>
      </c>
      <c r="I95" s="53" t="s">
        <v>1046</v>
      </c>
    </row>
    <row r="96" ht="15.75" customHeight="1">
      <c r="A96" s="47">
        <v>93.0</v>
      </c>
      <c r="B96" s="55" t="s">
        <v>1011</v>
      </c>
      <c r="C96" s="48" t="s">
        <v>1053</v>
      </c>
      <c r="D96" s="49" t="s">
        <v>1054</v>
      </c>
      <c r="E96" s="49" t="s">
        <v>1055</v>
      </c>
      <c r="F96" s="50">
        <v>3.3324966E7</v>
      </c>
      <c r="G96" s="51" t="s">
        <v>1056</v>
      </c>
      <c r="H96" s="52" t="s">
        <v>1057</v>
      </c>
      <c r="I96" s="53" t="s">
        <v>1058</v>
      </c>
    </row>
    <row r="97" ht="15.75" customHeight="1">
      <c r="A97" s="47">
        <v>94.0</v>
      </c>
      <c r="B97" s="55" t="s">
        <v>1011</v>
      </c>
      <c r="C97" s="48" t="s">
        <v>1059</v>
      </c>
      <c r="D97" s="49" t="s">
        <v>1060</v>
      </c>
      <c r="E97" s="49" t="s">
        <v>1061</v>
      </c>
      <c r="F97" s="50">
        <v>2.8666766E7</v>
      </c>
      <c r="G97" s="51" t="s">
        <v>1062</v>
      </c>
      <c r="H97" s="52" t="s">
        <v>1063</v>
      </c>
      <c r="I97" s="53" t="s">
        <v>594</v>
      </c>
    </row>
    <row r="98" ht="15.75" customHeight="1">
      <c r="A98" s="47">
        <v>95.0</v>
      </c>
      <c r="B98" s="55" t="s">
        <v>1011</v>
      </c>
      <c r="C98" s="48" t="s">
        <v>1064</v>
      </c>
      <c r="D98" s="49" t="s">
        <v>1065</v>
      </c>
      <c r="E98" s="49" t="s">
        <v>1066</v>
      </c>
      <c r="F98" s="50">
        <v>3.1848588E7</v>
      </c>
      <c r="G98" s="51" t="s">
        <v>1067</v>
      </c>
      <c r="H98" s="52" t="s">
        <v>1068</v>
      </c>
      <c r="I98" s="53" t="s">
        <v>705</v>
      </c>
    </row>
    <row r="99" ht="15.75" customHeight="1">
      <c r="A99" s="47">
        <v>96.0</v>
      </c>
      <c r="B99" s="55" t="s">
        <v>1011</v>
      </c>
      <c r="C99" s="48" t="s">
        <v>1069</v>
      </c>
      <c r="D99" s="49" t="s">
        <v>1070</v>
      </c>
      <c r="E99" s="49" t="s">
        <v>1071</v>
      </c>
      <c r="F99" s="50">
        <v>2.4374895E7</v>
      </c>
      <c r="G99" s="51" t="s">
        <v>1072</v>
      </c>
      <c r="H99" s="52" t="s">
        <v>1073</v>
      </c>
      <c r="I99" s="53" t="s">
        <v>594</v>
      </c>
    </row>
    <row r="100" ht="15.75" customHeight="1">
      <c r="A100" s="47">
        <v>97.0</v>
      </c>
      <c r="B100" s="55" t="s">
        <v>1011</v>
      </c>
      <c r="C100" s="48" t="s">
        <v>1074</v>
      </c>
      <c r="D100" s="49" t="s">
        <v>1075</v>
      </c>
      <c r="E100" s="49" t="s">
        <v>1076</v>
      </c>
      <c r="F100" s="50">
        <v>1.8245554E7</v>
      </c>
      <c r="G100" s="51" t="s">
        <v>1077</v>
      </c>
      <c r="H100" s="52" t="s">
        <v>1078</v>
      </c>
      <c r="I100" s="53" t="s">
        <v>594</v>
      </c>
    </row>
    <row r="101" ht="15.75" customHeight="1">
      <c r="A101" s="47">
        <v>98.0</v>
      </c>
      <c r="B101" s="55" t="s">
        <v>1011</v>
      </c>
      <c r="C101" s="48" t="s">
        <v>1079</v>
      </c>
      <c r="D101" s="49" t="s">
        <v>1080</v>
      </c>
      <c r="E101" s="49" t="s">
        <v>1081</v>
      </c>
      <c r="F101" s="50">
        <v>2.1734655E7</v>
      </c>
      <c r="G101" s="51" t="s">
        <v>1082</v>
      </c>
      <c r="H101" s="52" t="s">
        <v>1083</v>
      </c>
      <c r="I101" s="53" t="s">
        <v>594</v>
      </c>
    </row>
    <row r="102" ht="15.75" customHeight="1">
      <c r="A102" s="47">
        <v>99.0</v>
      </c>
      <c r="B102" s="55" t="s">
        <v>1011</v>
      </c>
      <c r="C102" s="48" t="s">
        <v>1084</v>
      </c>
      <c r="D102" s="49" t="s">
        <v>1085</v>
      </c>
      <c r="E102" s="49" t="s">
        <v>1086</v>
      </c>
      <c r="F102" s="50">
        <v>2.199687E7</v>
      </c>
      <c r="G102" s="51" t="s">
        <v>1087</v>
      </c>
      <c r="H102" s="52" t="s">
        <v>1088</v>
      </c>
      <c r="I102" s="53" t="s">
        <v>594</v>
      </c>
    </row>
    <row r="103" ht="15.75" customHeight="1">
      <c r="A103" s="47">
        <v>100.0</v>
      </c>
      <c r="B103" s="55" t="s">
        <v>1011</v>
      </c>
      <c r="C103" s="48" t="s">
        <v>1089</v>
      </c>
      <c r="D103" s="49" t="s">
        <v>1090</v>
      </c>
      <c r="E103" s="49" t="s">
        <v>1091</v>
      </c>
      <c r="F103" s="50">
        <v>2.7630346E7</v>
      </c>
      <c r="G103" s="51" t="s">
        <v>1092</v>
      </c>
      <c r="H103" s="52" t="s">
        <v>1093</v>
      </c>
      <c r="I103" s="53" t="s">
        <v>594</v>
      </c>
    </row>
    <row r="104" ht="15.75" customHeight="1">
      <c r="A104" s="47">
        <v>101.0</v>
      </c>
      <c r="B104" s="55" t="s">
        <v>1011</v>
      </c>
      <c r="C104" s="48" t="s">
        <v>1094</v>
      </c>
      <c r="D104" s="49" t="s">
        <v>1095</v>
      </c>
      <c r="E104" s="49" t="s">
        <v>1096</v>
      </c>
      <c r="F104" s="50">
        <v>2.4354758E7</v>
      </c>
      <c r="G104" s="51" t="s">
        <v>1097</v>
      </c>
      <c r="H104" s="52" t="s">
        <v>1098</v>
      </c>
      <c r="I104" s="53" t="s">
        <v>594</v>
      </c>
    </row>
    <row r="105" ht="15.75" customHeight="1">
      <c r="A105" s="47">
        <v>102.0</v>
      </c>
      <c r="B105" s="55" t="s">
        <v>1011</v>
      </c>
      <c r="C105" s="48" t="s">
        <v>1099</v>
      </c>
      <c r="D105" s="49" t="s">
        <v>1100</v>
      </c>
      <c r="E105" s="49" t="s">
        <v>1101</v>
      </c>
      <c r="F105" s="53">
        <v>3.0898539E7</v>
      </c>
      <c r="G105" s="53" t="s">
        <v>1102</v>
      </c>
      <c r="H105" s="52" t="s">
        <v>1103</v>
      </c>
      <c r="I105" s="53" t="s">
        <v>594</v>
      </c>
    </row>
    <row r="106" ht="15.75" customHeight="1">
      <c r="A106" s="47">
        <v>103.0</v>
      </c>
      <c r="B106" s="55" t="s">
        <v>1011</v>
      </c>
      <c r="C106" s="48" t="s">
        <v>1104</v>
      </c>
      <c r="D106" s="49" t="s">
        <v>1105</v>
      </c>
      <c r="E106" s="49" t="s">
        <v>1106</v>
      </c>
      <c r="F106" s="50">
        <v>2.4408007E7</v>
      </c>
      <c r="G106" s="51" t="s">
        <v>1107</v>
      </c>
      <c r="H106" s="52" t="s">
        <v>1108</v>
      </c>
      <c r="I106" s="53" t="s">
        <v>594</v>
      </c>
    </row>
    <row r="107" ht="15.75" customHeight="1">
      <c r="A107" s="47">
        <v>104.0</v>
      </c>
      <c r="B107" s="55" t="s">
        <v>1011</v>
      </c>
      <c r="C107" s="48" t="s">
        <v>1109</v>
      </c>
      <c r="D107" s="49" t="s">
        <v>1110</v>
      </c>
      <c r="E107" s="49" t="s">
        <v>1111</v>
      </c>
      <c r="F107" s="50">
        <v>2.9184632E7</v>
      </c>
      <c r="G107" s="51" t="s">
        <v>1112</v>
      </c>
      <c r="H107" s="52" t="s">
        <v>1113</v>
      </c>
      <c r="I107" s="53" t="s">
        <v>594</v>
      </c>
    </row>
    <row r="108" ht="15.75" customHeight="1">
      <c r="A108" s="47">
        <v>105.0</v>
      </c>
      <c r="B108" s="55" t="s">
        <v>1011</v>
      </c>
      <c r="C108" s="48" t="s">
        <v>1114</v>
      </c>
      <c r="D108" s="49" t="s">
        <v>1115</v>
      </c>
      <c r="E108" s="49" t="s">
        <v>1116</v>
      </c>
      <c r="F108" s="50">
        <v>2.3554306E7</v>
      </c>
      <c r="G108" s="51" t="s">
        <v>1117</v>
      </c>
      <c r="H108" s="52" t="s">
        <v>1118</v>
      </c>
      <c r="I108" s="53" t="s">
        <v>594</v>
      </c>
    </row>
    <row r="109" ht="15.75" customHeight="1">
      <c r="A109" s="47">
        <v>106.0</v>
      </c>
      <c r="B109" s="55" t="s">
        <v>1011</v>
      </c>
      <c r="C109" s="48" t="s">
        <v>1119</v>
      </c>
      <c r="D109" s="49" t="s">
        <v>1120</v>
      </c>
      <c r="E109" s="49" t="s">
        <v>1121</v>
      </c>
      <c r="F109" s="50">
        <v>2.5053789E7</v>
      </c>
      <c r="G109" s="51" t="s">
        <v>1122</v>
      </c>
      <c r="H109" s="52" t="s">
        <v>1123</v>
      </c>
      <c r="I109" s="53" t="s">
        <v>594</v>
      </c>
    </row>
    <row r="110" ht="15.75" customHeight="1">
      <c r="A110" s="47">
        <v>107.0</v>
      </c>
      <c r="B110" s="62" t="s">
        <v>1011</v>
      </c>
      <c r="C110" s="63" t="s">
        <v>1124</v>
      </c>
      <c r="D110" s="64" t="s">
        <v>1125</v>
      </c>
      <c r="E110" s="64" t="s">
        <v>1126</v>
      </c>
      <c r="F110" s="65">
        <v>3.2566503E7</v>
      </c>
      <c r="G110" s="66" t="s">
        <v>1127</v>
      </c>
      <c r="H110" s="67" t="s">
        <v>1128</v>
      </c>
      <c r="I110" s="53" t="s">
        <v>594</v>
      </c>
    </row>
    <row r="111" ht="15.75" customHeight="1">
      <c r="A111" s="78" t="s">
        <v>574</v>
      </c>
      <c r="B111" s="69" t="s">
        <v>575</v>
      </c>
      <c r="C111" s="70" t="s">
        <v>1129</v>
      </c>
      <c r="D111" s="70" t="s">
        <v>577</v>
      </c>
      <c r="E111" s="70" t="s">
        <v>578</v>
      </c>
      <c r="F111" s="71" t="s">
        <v>579</v>
      </c>
      <c r="G111" s="71" t="s">
        <v>580</v>
      </c>
      <c r="H111" s="72" t="s">
        <v>581</v>
      </c>
      <c r="I111" s="39" t="s">
        <v>822</v>
      </c>
    </row>
    <row r="112" ht="15.75" customHeight="1">
      <c r="A112" s="47">
        <v>108.0</v>
      </c>
      <c r="B112" s="54" t="s">
        <v>1011</v>
      </c>
      <c r="C112" s="73" t="s">
        <v>64</v>
      </c>
      <c r="D112" s="74" t="s">
        <v>1130</v>
      </c>
      <c r="E112" s="74" t="s">
        <v>1131</v>
      </c>
      <c r="F112" s="76">
        <v>1.6741044E7</v>
      </c>
      <c r="G112" s="76" t="s">
        <v>1132</v>
      </c>
      <c r="H112" s="77" t="s">
        <v>1133</v>
      </c>
      <c r="I112" s="53" t="s">
        <v>594</v>
      </c>
    </row>
    <row r="113" ht="15.75" customHeight="1">
      <c r="A113" s="56">
        <v>109.0</v>
      </c>
      <c r="B113" s="56" t="s">
        <v>1011</v>
      </c>
      <c r="C113" s="57" t="s">
        <v>70</v>
      </c>
      <c r="D113" s="58" t="s">
        <v>1134</v>
      </c>
      <c r="E113" s="58" t="s">
        <v>1135</v>
      </c>
      <c r="F113" s="59">
        <v>2.4482555E7</v>
      </c>
      <c r="G113" s="60" t="s">
        <v>1136</v>
      </c>
      <c r="H113" s="61" t="s">
        <v>1137</v>
      </c>
      <c r="I113" s="46" t="s">
        <v>588</v>
      </c>
    </row>
    <row r="114" ht="15.75" customHeight="1">
      <c r="A114" s="47">
        <v>110.0</v>
      </c>
      <c r="B114" s="47" t="s">
        <v>1011</v>
      </c>
      <c r="C114" s="48" t="s">
        <v>53</v>
      </c>
      <c r="D114" s="49" t="s">
        <v>1138</v>
      </c>
      <c r="E114" s="49" t="s">
        <v>1139</v>
      </c>
      <c r="F114" s="50">
        <v>2.7189622E7</v>
      </c>
      <c r="G114" s="51" t="s">
        <v>1140</v>
      </c>
      <c r="H114" s="52" t="s">
        <v>1141</v>
      </c>
      <c r="I114" s="53" t="s">
        <v>594</v>
      </c>
    </row>
    <row r="115" ht="15.75" customHeight="1">
      <c r="A115" s="47">
        <v>111.0</v>
      </c>
      <c r="B115" s="47" t="s">
        <v>1011</v>
      </c>
      <c r="C115" s="48" t="s">
        <v>1142</v>
      </c>
      <c r="D115" s="49" t="s">
        <v>57</v>
      </c>
      <c r="E115" s="49" t="s">
        <v>1143</v>
      </c>
      <c r="F115" s="50">
        <v>2.1870412E7</v>
      </c>
      <c r="G115" s="51" t="s">
        <v>1144</v>
      </c>
      <c r="H115" s="52" t="s">
        <v>1145</v>
      </c>
      <c r="I115" s="53" t="s">
        <v>594</v>
      </c>
    </row>
    <row r="116" ht="15.75" customHeight="1">
      <c r="A116" s="47">
        <v>112.0</v>
      </c>
      <c r="B116" s="55" t="s">
        <v>1011</v>
      </c>
      <c r="C116" s="48" t="s">
        <v>589</v>
      </c>
      <c r="D116" s="79" t="s">
        <v>432</v>
      </c>
      <c r="E116" s="79" t="s">
        <v>1146</v>
      </c>
      <c r="F116" s="80">
        <v>2.4115591E7</v>
      </c>
      <c r="G116" s="81" t="s">
        <v>1147</v>
      </c>
      <c r="H116" s="52" t="s">
        <v>1148</v>
      </c>
      <c r="I116" s="53" t="s">
        <v>594</v>
      </c>
    </row>
    <row r="117" ht="15.75" customHeight="1">
      <c r="A117" s="47">
        <v>113.0</v>
      </c>
      <c r="B117" s="47" t="s">
        <v>1011</v>
      </c>
      <c r="C117" s="48" t="s">
        <v>1149</v>
      </c>
      <c r="D117" s="49" t="s">
        <v>57</v>
      </c>
      <c r="E117" s="49" t="s">
        <v>1150</v>
      </c>
      <c r="F117" s="50">
        <v>3.156887E7</v>
      </c>
      <c r="G117" s="51" t="s">
        <v>1151</v>
      </c>
      <c r="H117" s="52" t="s">
        <v>1152</v>
      </c>
      <c r="I117" s="53" t="s">
        <v>594</v>
      </c>
    </row>
    <row r="118" ht="15.75" customHeight="1">
      <c r="A118" s="47">
        <v>114.0</v>
      </c>
      <c r="B118" s="47" t="s">
        <v>1011</v>
      </c>
      <c r="C118" s="48" t="s">
        <v>1153</v>
      </c>
      <c r="D118" s="49" t="s">
        <v>57</v>
      </c>
      <c r="E118" s="49" t="s">
        <v>1154</v>
      </c>
      <c r="F118" s="50">
        <v>2.4317846E7</v>
      </c>
      <c r="G118" s="51" t="s">
        <v>1155</v>
      </c>
      <c r="H118" s="52" t="s">
        <v>1156</v>
      </c>
      <c r="I118" s="53" t="s">
        <v>594</v>
      </c>
    </row>
    <row r="119" ht="15.75" customHeight="1">
      <c r="A119" s="47">
        <v>115.0</v>
      </c>
      <c r="B119" s="47" t="s">
        <v>1011</v>
      </c>
      <c r="C119" s="48" t="s">
        <v>1157</v>
      </c>
      <c r="D119" s="49" t="s">
        <v>1158</v>
      </c>
      <c r="E119" s="49" t="s">
        <v>1159</v>
      </c>
      <c r="F119" s="51">
        <v>2.9981116E7</v>
      </c>
      <c r="G119" s="51" t="s">
        <v>1160</v>
      </c>
      <c r="H119" s="52" t="s">
        <v>1161</v>
      </c>
      <c r="I119" s="53" t="s">
        <v>594</v>
      </c>
    </row>
    <row r="120" ht="15.75" customHeight="1">
      <c r="A120" s="82" t="s">
        <v>574</v>
      </c>
      <c r="B120" s="83" t="s">
        <v>575</v>
      </c>
      <c r="C120" s="70" t="s">
        <v>1162</v>
      </c>
      <c r="D120" s="70" t="s">
        <v>577</v>
      </c>
      <c r="E120" s="70" t="s">
        <v>578</v>
      </c>
      <c r="F120" s="71" t="s">
        <v>579</v>
      </c>
      <c r="G120" s="84" t="s">
        <v>580</v>
      </c>
      <c r="H120" s="85" t="s">
        <v>581</v>
      </c>
      <c r="I120" s="39" t="s">
        <v>822</v>
      </c>
    </row>
    <row r="121" ht="15.75" customHeight="1">
      <c r="A121" s="47">
        <v>116.0</v>
      </c>
      <c r="B121" s="54" t="s">
        <v>1011</v>
      </c>
      <c r="C121" s="73" t="s">
        <v>1163</v>
      </c>
      <c r="D121" s="74" t="s">
        <v>1164</v>
      </c>
      <c r="E121" s="74" t="s">
        <v>1165</v>
      </c>
      <c r="F121" s="76">
        <v>2.1352787E7</v>
      </c>
      <c r="G121" s="76" t="s">
        <v>1166</v>
      </c>
      <c r="H121" s="52" t="s">
        <v>1167</v>
      </c>
      <c r="I121" s="53" t="s">
        <v>594</v>
      </c>
    </row>
    <row r="122" ht="15.75" customHeight="1">
      <c r="A122" s="47">
        <v>117.0</v>
      </c>
      <c r="B122" s="47" t="s">
        <v>1011</v>
      </c>
      <c r="C122" s="48" t="s">
        <v>1168</v>
      </c>
      <c r="D122" s="49" t="s">
        <v>1164</v>
      </c>
      <c r="E122" s="81" t="s">
        <v>1169</v>
      </c>
      <c r="F122" s="50">
        <v>1.6928719E7</v>
      </c>
      <c r="G122" s="51" t="s">
        <v>1170</v>
      </c>
      <c r="H122" s="52" t="s">
        <v>1171</v>
      </c>
      <c r="I122" s="53" t="s">
        <v>594</v>
      </c>
    </row>
    <row r="123" ht="15.75" customHeight="1">
      <c r="A123" s="47">
        <v>118.0</v>
      </c>
      <c r="B123" s="54" t="s">
        <v>1011</v>
      </c>
      <c r="C123" s="48" t="s">
        <v>1172</v>
      </c>
      <c r="D123" s="49" t="s">
        <v>1164</v>
      </c>
      <c r="E123" s="49" t="s">
        <v>1173</v>
      </c>
      <c r="F123" s="51">
        <v>1.2773205E7</v>
      </c>
      <c r="G123" s="51" t="s">
        <v>1174</v>
      </c>
      <c r="H123" s="52" t="s">
        <v>1175</v>
      </c>
      <c r="I123" s="53" t="s">
        <v>594</v>
      </c>
    </row>
    <row r="124" ht="15.75" customHeight="1">
      <c r="A124" s="47">
        <v>119.0</v>
      </c>
      <c r="B124" s="47" t="s">
        <v>1011</v>
      </c>
      <c r="C124" s="48" t="s">
        <v>1176</v>
      </c>
      <c r="D124" s="49" t="s">
        <v>1164</v>
      </c>
      <c r="E124" s="49" t="s">
        <v>1177</v>
      </c>
      <c r="F124" s="51">
        <v>3.009582E7</v>
      </c>
      <c r="G124" s="51" t="s">
        <v>1178</v>
      </c>
      <c r="H124" s="52" t="s">
        <v>1179</v>
      </c>
      <c r="I124" s="53" t="s">
        <v>594</v>
      </c>
    </row>
    <row r="125" ht="15.75" customHeight="1">
      <c r="A125" s="47">
        <v>120.0</v>
      </c>
      <c r="B125" s="54" t="s">
        <v>1011</v>
      </c>
      <c r="C125" s="48" t="s">
        <v>1180</v>
      </c>
      <c r="D125" s="49" t="s">
        <v>1181</v>
      </c>
      <c r="E125" s="49" t="s">
        <v>1182</v>
      </c>
      <c r="F125" s="51">
        <v>3.0810862E7</v>
      </c>
      <c r="G125" s="51" t="s">
        <v>1183</v>
      </c>
      <c r="H125" s="52" t="s">
        <v>1184</v>
      </c>
      <c r="I125" s="53" t="s">
        <v>594</v>
      </c>
    </row>
    <row r="126" ht="15.75" customHeight="1">
      <c r="A126" s="47">
        <v>121.0</v>
      </c>
      <c r="B126" s="47" t="s">
        <v>1011</v>
      </c>
      <c r="C126" s="48" t="s">
        <v>1185</v>
      </c>
      <c r="D126" s="79" t="s">
        <v>1186</v>
      </c>
      <c r="E126" s="79" t="s">
        <v>1187</v>
      </c>
      <c r="F126" s="81">
        <v>1.7150876E7</v>
      </c>
      <c r="G126" s="81" t="s">
        <v>1188</v>
      </c>
      <c r="H126" s="52" t="s">
        <v>1189</v>
      </c>
      <c r="I126" s="53" t="s">
        <v>1046</v>
      </c>
    </row>
    <row r="127" ht="15.75" customHeight="1">
      <c r="A127" s="47">
        <v>122.0</v>
      </c>
      <c r="B127" s="54" t="s">
        <v>1011</v>
      </c>
      <c r="C127" s="48" t="s">
        <v>1190</v>
      </c>
      <c r="D127" s="79" t="s">
        <v>1191</v>
      </c>
      <c r="E127" s="79" t="s">
        <v>1192</v>
      </c>
      <c r="F127" s="81" t="s">
        <v>1050</v>
      </c>
      <c r="G127" s="81" t="s">
        <v>1193</v>
      </c>
      <c r="H127" s="52" t="s">
        <v>1194</v>
      </c>
      <c r="I127" s="53" t="s">
        <v>594</v>
      </c>
    </row>
    <row r="128" ht="15.75" customHeight="1">
      <c r="A128" s="47">
        <v>123.0</v>
      </c>
      <c r="B128" s="47" t="s">
        <v>1011</v>
      </c>
      <c r="C128" s="48" t="s">
        <v>1195</v>
      </c>
      <c r="D128" s="79" t="s">
        <v>1196</v>
      </c>
      <c r="E128" s="79" t="s">
        <v>1197</v>
      </c>
      <c r="F128" s="81">
        <v>2.0863502E7</v>
      </c>
      <c r="G128" s="81" t="s">
        <v>1198</v>
      </c>
      <c r="H128" s="52" t="s">
        <v>1199</v>
      </c>
      <c r="I128" s="53" t="s">
        <v>1046</v>
      </c>
    </row>
    <row r="129" ht="15.75" customHeight="1">
      <c r="A129" s="47">
        <v>124.0</v>
      </c>
      <c r="B129" s="54" t="s">
        <v>1011</v>
      </c>
      <c r="C129" s="48" t="s">
        <v>1200</v>
      </c>
      <c r="D129" s="79" t="s">
        <v>1201</v>
      </c>
      <c r="E129" s="79" t="s">
        <v>1202</v>
      </c>
      <c r="F129" s="81">
        <v>3.3471293E7</v>
      </c>
      <c r="G129" s="81" t="s">
        <v>1203</v>
      </c>
      <c r="H129" s="52" t="s">
        <v>1204</v>
      </c>
      <c r="I129" s="53" t="s">
        <v>594</v>
      </c>
    </row>
    <row r="130" ht="15.75" customHeight="1">
      <c r="A130" s="47">
        <v>125.0</v>
      </c>
      <c r="B130" s="47" t="s">
        <v>1011</v>
      </c>
      <c r="C130" s="48" t="s">
        <v>1205</v>
      </c>
      <c r="D130" s="79" t="s">
        <v>1206</v>
      </c>
      <c r="E130" s="79" t="s">
        <v>1207</v>
      </c>
      <c r="F130" s="81">
        <v>3.7391312E7</v>
      </c>
      <c r="G130" s="81" t="s">
        <v>1169</v>
      </c>
      <c r="H130" s="52" t="s">
        <v>1208</v>
      </c>
      <c r="I130" s="53" t="s">
        <v>594</v>
      </c>
    </row>
    <row r="131" ht="15.75" customHeight="1">
      <c r="A131" s="62">
        <v>126.0</v>
      </c>
      <c r="B131" s="86" t="s">
        <v>1011</v>
      </c>
      <c r="C131" s="63" t="s">
        <v>1209</v>
      </c>
      <c r="D131" s="87" t="s">
        <v>1210</v>
      </c>
      <c r="E131" s="87" t="s">
        <v>1211</v>
      </c>
      <c r="F131" s="88">
        <v>2.9646608E7</v>
      </c>
      <c r="G131" s="88" t="s">
        <v>1212</v>
      </c>
      <c r="H131" s="67" t="s">
        <v>1213</v>
      </c>
      <c r="I131" s="89" t="s">
        <v>594</v>
      </c>
    </row>
    <row r="132" ht="15.75" customHeight="1">
      <c r="A132" s="68" t="s">
        <v>574</v>
      </c>
      <c r="B132" s="69" t="s">
        <v>575</v>
      </c>
      <c r="C132" s="70" t="s">
        <v>1214</v>
      </c>
      <c r="D132" s="70" t="s">
        <v>577</v>
      </c>
      <c r="E132" s="70" t="s">
        <v>578</v>
      </c>
      <c r="F132" s="84" t="s">
        <v>579</v>
      </c>
      <c r="G132" s="90" t="s">
        <v>580</v>
      </c>
      <c r="H132" s="72" t="s">
        <v>581</v>
      </c>
      <c r="I132" s="39" t="s">
        <v>822</v>
      </c>
    </row>
    <row r="133" ht="15.75" customHeight="1">
      <c r="A133" s="54">
        <v>127.0</v>
      </c>
      <c r="B133" s="54" t="s">
        <v>184</v>
      </c>
      <c r="C133" s="73" t="s">
        <v>1215</v>
      </c>
      <c r="D133" s="74" t="s">
        <v>1216</v>
      </c>
      <c r="E133" s="74" t="s">
        <v>1217</v>
      </c>
      <c r="F133" s="75">
        <v>2.9184232E7</v>
      </c>
      <c r="G133" s="76" t="s">
        <v>1218</v>
      </c>
      <c r="H133" s="77" t="s">
        <v>1219</v>
      </c>
      <c r="I133" s="91" t="s">
        <v>1220</v>
      </c>
    </row>
    <row r="134" ht="15.75" customHeight="1">
      <c r="A134" s="47">
        <v>128.0</v>
      </c>
      <c r="B134" s="47" t="s">
        <v>1221</v>
      </c>
      <c r="C134" s="48" t="s">
        <v>1222</v>
      </c>
      <c r="D134" s="49" t="s">
        <v>1223</v>
      </c>
      <c r="E134" s="49" t="s">
        <v>1224</v>
      </c>
      <c r="F134" s="50">
        <v>1.2867686E7</v>
      </c>
      <c r="G134" s="51" t="s">
        <v>1225</v>
      </c>
      <c r="H134" s="52" t="s">
        <v>1226</v>
      </c>
      <c r="I134" s="53" t="s">
        <v>1220</v>
      </c>
    </row>
    <row r="135" ht="15.75" customHeight="1">
      <c r="A135" s="47">
        <v>129.0</v>
      </c>
      <c r="B135" s="47" t="s">
        <v>1227</v>
      </c>
      <c r="C135" s="48" t="s">
        <v>1228</v>
      </c>
      <c r="D135" s="49" t="s">
        <v>1229</v>
      </c>
      <c r="E135" s="49" t="s">
        <v>1230</v>
      </c>
      <c r="F135" s="50">
        <v>2.5621437E7</v>
      </c>
      <c r="G135" s="51" t="s">
        <v>1231</v>
      </c>
      <c r="H135" s="52" t="s">
        <v>1232</v>
      </c>
      <c r="I135" s="53" t="s">
        <v>1220</v>
      </c>
    </row>
    <row r="136" ht="15.75" customHeight="1">
      <c r="A136" s="47">
        <v>130.0</v>
      </c>
      <c r="B136" s="47" t="s">
        <v>1233</v>
      </c>
      <c r="C136" s="48" t="s">
        <v>1234</v>
      </c>
      <c r="D136" s="49" t="s">
        <v>1235</v>
      </c>
      <c r="E136" s="49" t="s">
        <v>1236</v>
      </c>
      <c r="F136" s="50">
        <v>2.6504754E7</v>
      </c>
      <c r="G136" s="51" t="s">
        <v>1237</v>
      </c>
      <c r="H136" s="52" t="s">
        <v>1238</v>
      </c>
      <c r="I136" s="53" t="s">
        <v>1220</v>
      </c>
    </row>
    <row r="137" ht="15.75" customHeight="1">
      <c r="A137" s="47">
        <v>131.0</v>
      </c>
      <c r="B137" s="47" t="s">
        <v>1239</v>
      </c>
      <c r="C137" s="48" t="s">
        <v>1240</v>
      </c>
      <c r="D137" s="49" t="s">
        <v>1241</v>
      </c>
      <c r="E137" s="49" t="s">
        <v>1242</v>
      </c>
      <c r="F137" s="50">
        <v>1.3042191E7</v>
      </c>
      <c r="G137" s="51" t="s">
        <v>1243</v>
      </c>
      <c r="H137" s="52" t="s">
        <v>1244</v>
      </c>
      <c r="I137" s="53" t="s">
        <v>1220</v>
      </c>
    </row>
    <row r="138" ht="15.75" customHeight="1">
      <c r="A138" s="47">
        <v>132.0</v>
      </c>
      <c r="B138" s="55" t="s">
        <v>1245</v>
      </c>
      <c r="C138" s="48" t="s">
        <v>1246</v>
      </c>
      <c r="D138" s="49" t="s">
        <v>1247</v>
      </c>
      <c r="E138" s="49" t="s">
        <v>1248</v>
      </c>
      <c r="F138" s="50">
        <v>4.3930613E7</v>
      </c>
      <c r="G138" s="51" t="s">
        <v>1249</v>
      </c>
      <c r="H138" s="52" t="s">
        <v>1250</v>
      </c>
      <c r="I138" s="53" t="s">
        <v>1220</v>
      </c>
    </row>
    <row r="139" ht="15.75" customHeight="1">
      <c r="A139" s="47">
        <v>133.0</v>
      </c>
      <c r="B139" s="55" t="s">
        <v>1011</v>
      </c>
      <c r="C139" s="48" t="s">
        <v>1251</v>
      </c>
      <c r="D139" s="49" t="s">
        <v>1252</v>
      </c>
      <c r="E139" s="49" t="s">
        <v>1253</v>
      </c>
      <c r="F139" s="50">
        <v>1.7248029E7</v>
      </c>
      <c r="G139" s="51" t="s">
        <v>1254</v>
      </c>
      <c r="H139" s="52" t="s">
        <v>1255</v>
      </c>
      <c r="I139" s="53" t="s">
        <v>1220</v>
      </c>
    </row>
    <row r="140" ht="15.75" customHeight="1">
      <c r="A140" s="47">
        <v>134.0</v>
      </c>
      <c r="B140" s="55" t="s">
        <v>1011</v>
      </c>
      <c r="C140" s="48" t="s">
        <v>1256</v>
      </c>
      <c r="D140" s="49" t="s">
        <v>1257</v>
      </c>
      <c r="E140" s="49" t="s">
        <v>1258</v>
      </c>
      <c r="F140" s="50">
        <v>3.0997518E7</v>
      </c>
      <c r="G140" s="51" t="s">
        <v>1259</v>
      </c>
      <c r="H140" s="52" t="s">
        <v>1260</v>
      </c>
      <c r="I140" s="53" t="s">
        <v>1220</v>
      </c>
    </row>
    <row r="141" ht="15.75" customHeight="1">
      <c r="A141" s="47">
        <v>135.0</v>
      </c>
      <c r="B141" s="47" t="s">
        <v>1261</v>
      </c>
      <c r="C141" s="48" t="s">
        <v>1262</v>
      </c>
      <c r="D141" s="49" t="s">
        <v>1263</v>
      </c>
      <c r="E141" s="49" t="s">
        <v>1264</v>
      </c>
      <c r="F141" s="50">
        <v>1.0843088E7</v>
      </c>
      <c r="G141" s="51" t="s">
        <v>1265</v>
      </c>
      <c r="H141" s="52" t="s">
        <v>1266</v>
      </c>
      <c r="I141" s="53" t="s">
        <v>1267</v>
      </c>
    </row>
    <row r="142" ht="15.75" customHeight="1">
      <c r="A142" s="47">
        <v>136.0</v>
      </c>
      <c r="B142" s="47" t="s">
        <v>1268</v>
      </c>
      <c r="C142" s="48" t="s">
        <v>1269</v>
      </c>
      <c r="D142" s="49" t="s">
        <v>1270</v>
      </c>
      <c r="E142" s="49" t="s">
        <v>1271</v>
      </c>
      <c r="F142" s="50">
        <v>2.0676211E7</v>
      </c>
      <c r="G142" s="51" t="s">
        <v>1272</v>
      </c>
      <c r="H142" s="52" t="s">
        <v>1273</v>
      </c>
      <c r="I142" s="53" t="s">
        <v>1220</v>
      </c>
    </row>
    <row r="143" ht="15.75" customHeight="1">
      <c r="A143" s="47">
        <v>137.0</v>
      </c>
      <c r="B143" s="47" t="s">
        <v>1274</v>
      </c>
      <c r="C143" s="48" t="s">
        <v>1275</v>
      </c>
      <c r="D143" s="49" t="s">
        <v>1276</v>
      </c>
      <c r="E143" s="49" t="s">
        <v>1277</v>
      </c>
      <c r="F143" s="50">
        <v>2.7332657E7</v>
      </c>
      <c r="G143" s="51" t="s">
        <v>1278</v>
      </c>
      <c r="H143" s="52" t="s">
        <v>1279</v>
      </c>
      <c r="I143" s="53" t="s">
        <v>1280</v>
      </c>
    </row>
    <row r="144" ht="15.75" customHeight="1">
      <c r="A144" s="47">
        <v>138.0</v>
      </c>
      <c r="B144" s="47" t="s">
        <v>1281</v>
      </c>
      <c r="C144" s="48" t="s">
        <v>1282</v>
      </c>
      <c r="D144" s="49" t="s">
        <v>1283</v>
      </c>
      <c r="E144" s="49" t="s">
        <v>1284</v>
      </c>
      <c r="F144" s="50">
        <v>1.8441718E7</v>
      </c>
      <c r="G144" s="51" t="s">
        <v>1285</v>
      </c>
      <c r="H144" s="52" t="s">
        <v>1286</v>
      </c>
      <c r="I144" s="53" t="s">
        <v>1220</v>
      </c>
    </row>
    <row r="145" ht="15.75" customHeight="1">
      <c r="A145" s="47">
        <v>139.0</v>
      </c>
      <c r="B145" s="47" t="s">
        <v>1287</v>
      </c>
      <c r="C145" s="48" t="s">
        <v>1288</v>
      </c>
      <c r="D145" s="49" t="s">
        <v>1289</v>
      </c>
      <c r="E145" s="49" t="s">
        <v>1290</v>
      </c>
      <c r="F145" s="50">
        <v>1.3249068E7</v>
      </c>
      <c r="G145" s="51" t="s">
        <v>1291</v>
      </c>
      <c r="H145" s="52" t="s">
        <v>1292</v>
      </c>
      <c r="I145" s="53" t="s">
        <v>1220</v>
      </c>
    </row>
    <row r="146" ht="15.75" customHeight="1">
      <c r="A146" s="47">
        <v>140.0</v>
      </c>
      <c r="B146" s="47" t="s">
        <v>1293</v>
      </c>
      <c r="C146" s="48" t="s">
        <v>1294</v>
      </c>
      <c r="D146" s="49" t="s">
        <v>1295</v>
      </c>
      <c r="E146" s="49" t="s">
        <v>1296</v>
      </c>
      <c r="F146" s="50">
        <v>1.7027429E7</v>
      </c>
      <c r="G146" s="51" t="s">
        <v>1297</v>
      </c>
      <c r="H146" s="52" t="s">
        <v>1298</v>
      </c>
      <c r="I146" s="53" t="s">
        <v>1220</v>
      </c>
    </row>
    <row r="147" ht="15.75" customHeight="1">
      <c r="A147" s="47">
        <v>141.0</v>
      </c>
      <c r="B147" s="47" t="s">
        <v>1299</v>
      </c>
      <c r="C147" s="48" t="s">
        <v>1300</v>
      </c>
      <c r="D147" s="49" t="s">
        <v>437</v>
      </c>
      <c r="E147" s="49" t="s">
        <v>1301</v>
      </c>
      <c r="F147" s="50">
        <v>1.3611598E7</v>
      </c>
      <c r="G147" s="51" t="s">
        <v>1302</v>
      </c>
      <c r="H147" s="52" t="s">
        <v>1303</v>
      </c>
      <c r="I147" s="53" t="s">
        <v>1220</v>
      </c>
    </row>
    <row r="148" ht="15.75" customHeight="1">
      <c r="A148" s="47">
        <v>142.0</v>
      </c>
      <c r="B148" s="47" t="s">
        <v>1304</v>
      </c>
      <c r="C148" s="48" t="s">
        <v>1305</v>
      </c>
      <c r="D148" s="49" t="s">
        <v>1306</v>
      </c>
      <c r="E148" s="49" t="s">
        <v>1307</v>
      </c>
      <c r="F148" s="50">
        <v>4865171.0</v>
      </c>
      <c r="G148" s="51" t="s">
        <v>1308</v>
      </c>
      <c r="H148" s="52" t="s">
        <v>1309</v>
      </c>
      <c r="I148" s="53" t="s">
        <v>1220</v>
      </c>
    </row>
    <row r="149" ht="15.75" customHeight="1">
      <c r="A149" s="47">
        <v>143.0</v>
      </c>
      <c r="B149" s="47" t="s">
        <v>1011</v>
      </c>
      <c r="C149" s="48" t="s">
        <v>1310</v>
      </c>
      <c r="D149" s="79" t="s">
        <v>1311</v>
      </c>
      <c r="E149" s="79" t="s">
        <v>1312</v>
      </c>
      <c r="F149" s="80">
        <v>1.8475509E7</v>
      </c>
      <c r="G149" s="81" t="s">
        <v>1313</v>
      </c>
      <c r="H149" s="52" t="s">
        <v>1314</v>
      </c>
      <c r="I149" s="53" t="s">
        <v>1220</v>
      </c>
    </row>
    <row r="150" ht="15.75" customHeight="1">
      <c r="A150" s="47">
        <v>144.0</v>
      </c>
      <c r="B150" s="47" t="s">
        <v>1315</v>
      </c>
      <c r="C150" s="48" t="s">
        <v>1316</v>
      </c>
      <c r="D150" s="49" t="s">
        <v>1317</v>
      </c>
      <c r="E150" s="49" t="s">
        <v>1318</v>
      </c>
      <c r="F150" s="92" t="s">
        <v>1319</v>
      </c>
      <c r="G150" s="93" t="s">
        <v>1320</v>
      </c>
      <c r="H150" s="52" t="s">
        <v>1321</v>
      </c>
      <c r="I150" s="53" t="s">
        <v>1220</v>
      </c>
    </row>
    <row r="151" ht="15.75" customHeight="1">
      <c r="A151" s="47">
        <v>145.0</v>
      </c>
      <c r="B151" s="47" t="s">
        <v>1322</v>
      </c>
      <c r="C151" s="48" t="s">
        <v>1323</v>
      </c>
      <c r="D151" s="49" t="s">
        <v>1324</v>
      </c>
      <c r="E151" s="49" t="s">
        <v>1325</v>
      </c>
      <c r="F151" s="50">
        <v>2.6847258E7</v>
      </c>
      <c r="G151" s="51" t="s">
        <v>1326</v>
      </c>
      <c r="H151" s="52" t="s">
        <v>1327</v>
      </c>
      <c r="I151" s="53" t="s">
        <v>1328</v>
      </c>
    </row>
    <row r="152" ht="15.75" customHeight="1">
      <c r="A152" s="47">
        <v>146.0</v>
      </c>
      <c r="B152" s="47" t="s">
        <v>1329</v>
      </c>
      <c r="C152" s="48" t="s">
        <v>1330</v>
      </c>
      <c r="D152" s="49" t="s">
        <v>1331</v>
      </c>
      <c r="E152" s="49" t="s">
        <v>1332</v>
      </c>
      <c r="F152" s="50">
        <v>2.4937829E7</v>
      </c>
      <c r="G152" s="51" t="s">
        <v>1333</v>
      </c>
      <c r="H152" s="52" t="s">
        <v>1334</v>
      </c>
      <c r="I152" s="53" t="s">
        <v>1220</v>
      </c>
    </row>
    <row r="153" ht="15.75" customHeight="1">
      <c r="A153" s="47">
        <v>147.0</v>
      </c>
      <c r="B153" s="47" t="s">
        <v>1335</v>
      </c>
      <c r="C153" s="48" t="s">
        <v>1336</v>
      </c>
      <c r="D153" s="49" t="s">
        <v>1337</v>
      </c>
      <c r="E153" s="49" t="s">
        <v>1338</v>
      </c>
      <c r="F153" s="50">
        <v>5665904.0</v>
      </c>
      <c r="G153" s="51" t="s">
        <v>1339</v>
      </c>
      <c r="H153" s="52" t="s">
        <v>1340</v>
      </c>
      <c r="I153" s="53" t="s">
        <v>1341</v>
      </c>
    </row>
    <row r="154" ht="15.75" customHeight="1">
      <c r="A154" s="47">
        <v>148.0</v>
      </c>
      <c r="B154" s="47" t="s">
        <v>1342</v>
      </c>
      <c r="C154" s="48" t="s">
        <v>1343</v>
      </c>
      <c r="D154" s="49" t="s">
        <v>1344</v>
      </c>
      <c r="E154" s="49" t="s">
        <v>1345</v>
      </c>
      <c r="F154" s="50">
        <v>1.8804212E7</v>
      </c>
      <c r="G154" s="51" t="s">
        <v>1346</v>
      </c>
      <c r="H154" s="52" t="s">
        <v>1347</v>
      </c>
      <c r="I154" s="53" t="s">
        <v>1220</v>
      </c>
    </row>
    <row r="155" ht="15.75" customHeight="1">
      <c r="A155" s="47">
        <v>149.0</v>
      </c>
      <c r="B155" s="47" t="s">
        <v>1348</v>
      </c>
      <c r="C155" s="48" t="s">
        <v>864</v>
      </c>
      <c r="D155" s="49" t="s">
        <v>1349</v>
      </c>
      <c r="E155" s="49" t="s">
        <v>1350</v>
      </c>
      <c r="F155" s="50">
        <v>1.1984049E7</v>
      </c>
      <c r="G155" s="51" t="s">
        <v>1351</v>
      </c>
      <c r="H155" s="52" t="s">
        <v>1352</v>
      </c>
      <c r="I155" s="53" t="s">
        <v>1220</v>
      </c>
    </row>
    <row r="156" ht="15.75" customHeight="1">
      <c r="A156" s="47">
        <v>150.0</v>
      </c>
      <c r="B156" s="56" t="s">
        <v>1353</v>
      </c>
      <c r="C156" s="57" t="s">
        <v>1354</v>
      </c>
      <c r="D156" s="58" t="s">
        <v>1355</v>
      </c>
      <c r="E156" s="58" t="s">
        <v>1356</v>
      </c>
      <c r="F156" s="59">
        <v>2.4107385E7</v>
      </c>
      <c r="G156" s="60" t="s">
        <v>1357</v>
      </c>
      <c r="H156" s="61" t="s">
        <v>1358</v>
      </c>
      <c r="I156" s="46" t="s">
        <v>1359</v>
      </c>
    </row>
    <row r="157" ht="15.75" customHeight="1">
      <c r="A157" s="47">
        <v>151.0</v>
      </c>
      <c r="B157" s="47" t="s">
        <v>1360</v>
      </c>
      <c r="C157" s="48" t="s">
        <v>1361</v>
      </c>
      <c r="D157" s="49" t="s">
        <v>1362</v>
      </c>
      <c r="E157" s="49" t="s">
        <v>1363</v>
      </c>
      <c r="F157" s="50">
        <v>3.0548438E7</v>
      </c>
      <c r="G157" s="51" t="s">
        <v>1364</v>
      </c>
      <c r="H157" s="52" t="s">
        <v>1365</v>
      </c>
      <c r="I157" s="53" t="s">
        <v>1220</v>
      </c>
    </row>
    <row r="158" ht="15.75" customHeight="1">
      <c r="A158" s="47">
        <v>152.0</v>
      </c>
      <c r="B158" s="47" t="s">
        <v>1366</v>
      </c>
      <c r="C158" s="48" t="s">
        <v>1367</v>
      </c>
      <c r="D158" s="49" t="s">
        <v>1368</v>
      </c>
      <c r="E158" s="49" t="s">
        <v>1369</v>
      </c>
      <c r="F158" s="50">
        <v>2.2640438E7</v>
      </c>
      <c r="G158" s="51" t="s">
        <v>1370</v>
      </c>
      <c r="H158" s="52" t="s">
        <v>1371</v>
      </c>
      <c r="I158" s="53" t="s">
        <v>1220</v>
      </c>
    </row>
    <row r="159" ht="15.75" customHeight="1">
      <c r="A159" s="47">
        <v>153.0</v>
      </c>
      <c r="B159" s="47" t="s">
        <v>1372</v>
      </c>
      <c r="C159" s="48" t="s">
        <v>1373</v>
      </c>
      <c r="D159" s="49" t="s">
        <v>1374</v>
      </c>
      <c r="E159" s="49" t="s">
        <v>1375</v>
      </c>
      <c r="F159" s="50">
        <v>2.8903647E7</v>
      </c>
      <c r="G159" s="51" t="s">
        <v>1376</v>
      </c>
      <c r="H159" s="52" t="s">
        <v>1377</v>
      </c>
      <c r="I159" s="53" t="s">
        <v>1220</v>
      </c>
    </row>
    <row r="160" ht="15.75" customHeight="1">
      <c r="A160" s="47">
        <v>154.0</v>
      </c>
      <c r="B160" s="55" t="s">
        <v>1378</v>
      </c>
      <c r="C160" s="48" t="s">
        <v>1379</v>
      </c>
      <c r="D160" s="49" t="s">
        <v>1380</v>
      </c>
      <c r="E160" s="49" t="s">
        <v>1381</v>
      </c>
      <c r="F160" s="50">
        <v>1.2319853E7</v>
      </c>
      <c r="G160" s="51" t="s">
        <v>1382</v>
      </c>
      <c r="H160" s="52" t="s">
        <v>1383</v>
      </c>
      <c r="I160" s="53" t="s">
        <v>1220</v>
      </c>
    </row>
    <row r="161" ht="15.75" customHeight="1">
      <c r="A161" s="47">
        <v>155.0</v>
      </c>
      <c r="B161" s="47" t="s">
        <v>1384</v>
      </c>
      <c r="C161" s="48" t="s">
        <v>1385</v>
      </c>
      <c r="D161" s="49" t="s">
        <v>1386</v>
      </c>
      <c r="E161" s="49" t="s">
        <v>1387</v>
      </c>
      <c r="F161" s="50">
        <v>2.3948174E7</v>
      </c>
      <c r="G161" s="51" t="s">
        <v>1388</v>
      </c>
      <c r="H161" s="52" t="s">
        <v>1389</v>
      </c>
      <c r="I161" s="53" t="s">
        <v>1220</v>
      </c>
    </row>
    <row r="162" ht="15.75" customHeight="1">
      <c r="A162" s="47">
        <v>156.0</v>
      </c>
      <c r="B162" s="47" t="s">
        <v>1390</v>
      </c>
      <c r="C162" s="48" t="s">
        <v>1391</v>
      </c>
      <c r="D162" s="49" t="s">
        <v>1392</v>
      </c>
      <c r="E162" s="49" t="s">
        <v>1393</v>
      </c>
      <c r="F162" s="50">
        <v>3.1848412E7</v>
      </c>
      <c r="G162" s="51" t="s">
        <v>1394</v>
      </c>
      <c r="H162" s="52" t="s">
        <v>1395</v>
      </c>
      <c r="I162" s="53" t="s">
        <v>1220</v>
      </c>
    </row>
    <row r="163" ht="15.75" customHeight="1">
      <c r="A163" s="47">
        <v>157.0</v>
      </c>
      <c r="B163" s="47" t="s">
        <v>1396</v>
      </c>
      <c r="C163" s="48" t="s">
        <v>1397</v>
      </c>
      <c r="D163" s="49" t="s">
        <v>1398</v>
      </c>
      <c r="E163" s="49" t="s">
        <v>1399</v>
      </c>
      <c r="F163" s="50">
        <v>2.2019197E7</v>
      </c>
      <c r="G163" s="51" t="s">
        <v>1400</v>
      </c>
      <c r="H163" s="52" t="s">
        <v>1401</v>
      </c>
      <c r="I163" s="53" t="s">
        <v>1402</v>
      </c>
    </row>
    <row r="164" ht="15.75" customHeight="1">
      <c r="A164" s="47">
        <v>158.0</v>
      </c>
      <c r="B164" s="47" t="s">
        <v>1403</v>
      </c>
      <c r="C164" s="48" t="s">
        <v>1404</v>
      </c>
      <c r="D164" s="49" t="s">
        <v>1405</v>
      </c>
      <c r="E164" s="49" t="s">
        <v>1406</v>
      </c>
      <c r="F164" s="51">
        <v>9.4693164E7</v>
      </c>
      <c r="G164" s="51" t="s">
        <v>1407</v>
      </c>
      <c r="H164" s="52" t="s">
        <v>1408</v>
      </c>
      <c r="I164" s="53" t="s">
        <v>1220</v>
      </c>
    </row>
    <row r="165" ht="15.75" customHeight="1">
      <c r="A165" s="47">
        <v>159.0</v>
      </c>
      <c r="B165" s="47" t="s">
        <v>1409</v>
      </c>
      <c r="C165" s="48" t="s">
        <v>1410</v>
      </c>
      <c r="D165" s="49" t="s">
        <v>1411</v>
      </c>
      <c r="E165" s="49" t="s">
        <v>1412</v>
      </c>
      <c r="F165" s="51">
        <v>1.1331069E7</v>
      </c>
      <c r="G165" s="51" t="s">
        <v>1413</v>
      </c>
      <c r="H165" s="52" t="s">
        <v>1414</v>
      </c>
      <c r="I165" s="53" t="s">
        <v>1415</v>
      </c>
    </row>
    <row r="166" ht="15.75" customHeight="1">
      <c r="A166" s="47">
        <v>160.0</v>
      </c>
      <c r="B166" s="47" t="s">
        <v>1416</v>
      </c>
      <c r="C166" s="48" t="s">
        <v>1417</v>
      </c>
      <c r="D166" s="49" t="s">
        <v>1418</v>
      </c>
      <c r="E166" s="49" t="s">
        <v>1419</v>
      </c>
      <c r="F166" s="50">
        <v>2.0090551E7</v>
      </c>
      <c r="G166" s="51" t="s">
        <v>1420</v>
      </c>
      <c r="H166" s="52" t="s">
        <v>1421</v>
      </c>
      <c r="I166" s="53" t="s">
        <v>1220</v>
      </c>
    </row>
    <row r="167" ht="15.75" customHeight="1">
      <c r="A167" s="47">
        <v>161.0</v>
      </c>
      <c r="B167" s="47" t="s">
        <v>1422</v>
      </c>
      <c r="C167" s="48" t="s">
        <v>1423</v>
      </c>
      <c r="D167" s="49" t="s">
        <v>1424</v>
      </c>
      <c r="E167" s="49" t="s">
        <v>1425</v>
      </c>
      <c r="F167" s="50">
        <v>1.7667222E7</v>
      </c>
      <c r="G167" s="51" t="s">
        <v>1426</v>
      </c>
      <c r="H167" s="52" t="s">
        <v>1427</v>
      </c>
      <c r="I167" s="53" t="s">
        <v>1428</v>
      </c>
    </row>
    <row r="168" ht="15.75" customHeight="1">
      <c r="A168" s="47">
        <v>162.0</v>
      </c>
      <c r="B168" s="47" t="s">
        <v>1429</v>
      </c>
      <c r="C168" s="48" t="s">
        <v>1430</v>
      </c>
      <c r="D168" s="49" t="s">
        <v>1431</v>
      </c>
      <c r="E168" s="49" t="s">
        <v>1432</v>
      </c>
      <c r="F168" s="50">
        <v>2.6842405E7</v>
      </c>
      <c r="G168" s="51" t="s">
        <v>1433</v>
      </c>
      <c r="H168" s="52" t="s">
        <v>1434</v>
      </c>
      <c r="I168" s="53" t="s">
        <v>1220</v>
      </c>
    </row>
    <row r="169" ht="15.75" customHeight="1">
      <c r="A169" s="47">
        <v>163.0</v>
      </c>
      <c r="B169" s="47" t="s">
        <v>1435</v>
      </c>
      <c r="C169" s="48" t="s">
        <v>1436</v>
      </c>
      <c r="D169" s="49" t="s">
        <v>1437</v>
      </c>
      <c r="E169" s="49" t="s">
        <v>1438</v>
      </c>
      <c r="F169" s="50">
        <v>2.6680827E7</v>
      </c>
      <c r="G169" s="51" t="s">
        <v>1439</v>
      </c>
      <c r="H169" s="52" t="s">
        <v>1440</v>
      </c>
      <c r="I169" s="53" t="s">
        <v>1220</v>
      </c>
    </row>
    <row r="170" ht="15.75" customHeight="1">
      <c r="A170" s="47">
        <v>164.0</v>
      </c>
      <c r="B170" s="47" t="s">
        <v>1441</v>
      </c>
      <c r="C170" s="48" t="s">
        <v>1442</v>
      </c>
      <c r="D170" s="49" t="s">
        <v>1443</v>
      </c>
      <c r="E170" s="49" t="s">
        <v>1444</v>
      </c>
      <c r="F170" s="50">
        <v>1.498105E7</v>
      </c>
      <c r="G170" s="51" t="s">
        <v>1445</v>
      </c>
      <c r="H170" s="52" t="s">
        <v>1446</v>
      </c>
      <c r="I170" s="53" t="s">
        <v>1415</v>
      </c>
    </row>
    <row r="171" ht="15.75" customHeight="1">
      <c r="A171" s="47">
        <v>165.0</v>
      </c>
      <c r="B171" s="47" t="s">
        <v>1447</v>
      </c>
      <c r="C171" s="48" t="s">
        <v>1448</v>
      </c>
      <c r="D171" s="49" t="s">
        <v>1449</v>
      </c>
      <c r="E171" s="49" t="s">
        <v>1450</v>
      </c>
      <c r="F171" s="50">
        <v>2.4937654E7</v>
      </c>
      <c r="G171" s="51" t="s">
        <v>1451</v>
      </c>
      <c r="H171" s="52" t="s">
        <v>1452</v>
      </c>
      <c r="I171" s="53" t="s">
        <v>1220</v>
      </c>
    </row>
    <row r="172" ht="15.75" customHeight="1">
      <c r="A172" s="47">
        <v>166.0</v>
      </c>
      <c r="B172" s="55" t="s">
        <v>1011</v>
      </c>
      <c r="C172" s="48" t="s">
        <v>1453</v>
      </c>
      <c r="D172" s="49" t="s">
        <v>1454</v>
      </c>
      <c r="E172" s="49" t="s">
        <v>1455</v>
      </c>
      <c r="F172" s="50">
        <v>2.7358221E7</v>
      </c>
      <c r="G172" s="51" t="s">
        <v>1456</v>
      </c>
      <c r="H172" s="52" t="s">
        <v>1457</v>
      </c>
      <c r="I172" s="53" t="s">
        <v>1220</v>
      </c>
    </row>
    <row r="173" ht="15.75" customHeight="1">
      <c r="A173" s="47">
        <v>167.0</v>
      </c>
      <c r="B173" s="55" t="s">
        <v>1011</v>
      </c>
      <c r="C173" s="48" t="s">
        <v>1458</v>
      </c>
      <c r="D173" s="49" t="s">
        <v>1459</v>
      </c>
      <c r="E173" s="49" t="s">
        <v>1460</v>
      </c>
      <c r="F173" s="50">
        <v>1.872581E7</v>
      </c>
      <c r="G173" s="51" t="s">
        <v>1461</v>
      </c>
      <c r="H173" s="52" t="s">
        <v>1462</v>
      </c>
      <c r="I173" s="53" t="s">
        <v>1428</v>
      </c>
    </row>
    <row r="174" ht="15.75" customHeight="1">
      <c r="A174" s="47">
        <v>168.0</v>
      </c>
      <c r="B174" s="55" t="s">
        <v>1011</v>
      </c>
      <c r="C174" s="48" t="s">
        <v>1463</v>
      </c>
      <c r="D174" s="49" t="s">
        <v>1464</v>
      </c>
      <c r="E174" s="49" t="s">
        <v>1465</v>
      </c>
      <c r="F174" s="50" t="s">
        <v>1050</v>
      </c>
      <c r="G174" s="51" t="s">
        <v>1466</v>
      </c>
      <c r="H174" s="52" t="s">
        <v>1467</v>
      </c>
      <c r="I174" s="53" t="s">
        <v>1402</v>
      </c>
    </row>
    <row r="175" ht="15.75" customHeight="1">
      <c r="A175" s="47">
        <v>169.0</v>
      </c>
      <c r="B175" s="55" t="s">
        <v>1011</v>
      </c>
      <c r="C175" s="48" t="s">
        <v>1468</v>
      </c>
      <c r="D175" s="79" t="s">
        <v>1469</v>
      </c>
      <c r="E175" s="79" t="s">
        <v>1470</v>
      </c>
      <c r="F175" s="50" t="s">
        <v>1050</v>
      </c>
      <c r="G175" s="51" t="s">
        <v>1471</v>
      </c>
      <c r="H175" s="52" t="s">
        <v>1472</v>
      </c>
      <c r="I175" s="53" t="s">
        <v>1402</v>
      </c>
    </row>
    <row r="176" ht="15.75" customHeight="1">
      <c r="A176" s="47">
        <v>170.0</v>
      </c>
      <c r="B176" s="55" t="s">
        <v>1011</v>
      </c>
      <c r="C176" s="48" t="s">
        <v>1473</v>
      </c>
      <c r="D176" s="49" t="s">
        <v>1474</v>
      </c>
      <c r="E176" s="49" t="s">
        <v>1475</v>
      </c>
      <c r="F176" s="50" t="s">
        <v>1050</v>
      </c>
      <c r="G176" s="51" t="s">
        <v>1476</v>
      </c>
      <c r="H176" s="52" t="s">
        <v>1477</v>
      </c>
      <c r="I176" s="53" t="s">
        <v>1402</v>
      </c>
    </row>
    <row r="177" ht="15.75" customHeight="1">
      <c r="A177" s="47">
        <v>171.0</v>
      </c>
      <c r="B177" s="55" t="s">
        <v>1011</v>
      </c>
      <c r="C177" s="48" t="s">
        <v>1478</v>
      </c>
      <c r="D177" s="49" t="s">
        <v>1479</v>
      </c>
      <c r="E177" s="49" t="s">
        <v>1480</v>
      </c>
      <c r="F177" s="50">
        <v>2.264136E7</v>
      </c>
      <c r="G177" s="51" t="s">
        <v>1481</v>
      </c>
      <c r="H177" s="52" t="s">
        <v>1482</v>
      </c>
      <c r="I177" s="53" t="s">
        <v>1415</v>
      </c>
    </row>
    <row r="178" ht="15.75" customHeight="1">
      <c r="A178" s="47">
        <v>172.0</v>
      </c>
      <c r="B178" s="47" t="s">
        <v>73</v>
      </c>
      <c r="C178" s="48" t="s">
        <v>1483</v>
      </c>
      <c r="D178" s="49" t="s">
        <v>1484</v>
      </c>
      <c r="E178" s="49" t="s">
        <v>1485</v>
      </c>
      <c r="F178" s="53" t="s">
        <v>1050</v>
      </c>
      <c r="G178" s="53" t="s">
        <v>1486</v>
      </c>
      <c r="H178" s="52" t="s">
        <v>1487</v>
      </c>
      <c r="I178" s="53" t="s">
        <v>1220</v>
      </c>
    </row>
    <row r="179" ht="15.75" customHeight="1">
      <c r="A179" s="47">
        <v>173.0</v>
      </c>
      <c r="B179" s="55" t="s">
        <v>1011</v>
      </c>
      <c r="C179" s="48" t="s">
        <v>1488</v>
      </c>
      <c r="D179" s="49" t="s">
        <v>1489</v>
      </c>
      <c r="E179" s="49" t="s">
        <v>1490</v>
      </c>
      <c r="F179" s="53">
        <v>5304001.0</v>
      </c>
      <c r="G179" s="53" t="s">
        <v>1491</v>
      </c>
      <c r="H179" s="52" t="s">
        <v>1492</v>
      </c>
      <c r="I179" s="89" t="s">
        <v>1415</v>
      </c>
    </row>
    <row r="180" ht="15.75" customHeight="1">
      <c r="A180" s="47">
        <v>174.0</v>
      </c>
      <c r="B180" s="55" t="s">
        <v>1011</v>
      </c>
      <c r="C180" s="48" t="s">
        <v>1493</v>
      </c>
      <c r="D180" s="49" t="s">
        <v>1494</v>
      </c>
      <c r="E180" s="49" t="s">
        <v>1495</v>
      </c>
      <c r="F180" s="53">
        <v>2.8898832E7</v>
      </c>
      <c r="G180" s="53" t="s">
        <v>1496</v>
      </c>
      <c r="H180" s="52" t="s">
        <v>1497</v>
      </c>
      <c r="I180" s="89" t="s">
        <v>1220</v>
      </c>
    </row>
    <row r="181" ht="15.75" customHeight="1">
      <c r="A181" s="47">
        <v>175.0</v>
      </c>
      <c r="B181" s="94" t="s">
        <v>1011</v>
      </c>
      <c r="C181" s="48" t="s">
        <v>1498</v>
      </c>
      <c r="D181" s="49" t="s">
        <v>1499</v>
      </c>
      <c r="E181" s="49" t="s">
        <v>1500</v>
      </c>
      <c r="F181" s="53">
        <v>3.3636215E7</v>
      </c>
      <c r="G181" s="53" t="s">
        <v>1501</v>
      </c>
      <c r="H181" s="52" t="s">
        <v>1502</v>
      </c>
      <c r="I181" s="89" t="s">
        <v>1220</v>
      </c>
    </row>
    <row r="182" ht="15.75" customHeight="1">
      <c r="A182" s="47">
        <v>176.0</v>
      </c>
      <c r="B182" s="94" t="s">
        <v>1011</v>
      </c>
      <c r="C182" s="48" t="s">
        <v>1503</v>
      </c>
      <c r="D182" s="49" t="s">
        <v>1504</v>
      </c>
      <c r="E182" s="49" t="s">
        <v>1505</v>
      </c>
      <c r="F182" s="53">
        <v>2.502227E7</v>
      </c>
      <c r="G182" s="53" t="s">
        <v>1506</v>
      </c>
      <c r="H182" s="52" t="s">
        <v>1507</v>
      </c>
      <c r="I182" s="89" t="s">
        <v>1220</v>
      </c>
    </row>
    <row r="183" ht="15.75" customHeight="1">
      <c r="A183" s="47">
        <v>177.0</v>
      </c>
      <c r="B183" s="94" t="s">
        <v>1011</v>
      </c>
      <c r="C183" s="48" t="s">
        <v>74</v>
      </c>
      <c r="D183" s="49" t="s">
        <v>1508</v>
      </c>
      <c r="E183" s="49" t="s">
        <v>1509</v>
      </c>
      <c r="F183" s="53">
        <v>1.2523548E7</v>
      </c>
      <c r="G183" s="53" t="s">
        <v>1510</v>
      </c>
      <c r="H183" s="52" t="s">
        <v>1511</v>
      </c>
      <c r="I183" s="89" t="s">
        <v>1220</v>
      </c>
    </row>
    <row r="184" ht="15.75" customHeight="1">
      <c r="A184" s="47">
        <v>178.0</v>
      </c>
      <c r="B184" s="94" t="s">
        <v>1011</v>
      </c>
      <c r="C184" s="48" t="s">
        <v>1512</v>
      </c>
      <c r="D184" s="49" t="s">
        <v>1513</v>
      </c>
      <c r="E184" s="49" t="s">
        <v>1514</v>
      </c>
      <c r="F184" s="53">
        <v>2.1849059E7</v>
      </c>
      <c r="G184" s="53" t="s">
        <v>1515</v>
      </c>
      <c r="H184" s="52" t="s">
        <v>1516</v>
      </c>
      <c r="I184" s="89" t="s">
        <v>1220</v>
      </c>
    </row>
    <row r="185" ht="15.75" customHeight="1">
      <c r="A185" s="47">
        <v>179.0</v>
      </c>
      <c r="B185" s="55" t="s">
        <v>1011</v>
      </c>
      <c r="C185" s="48" t="s">
        <v>1517</v>
      </c>
      <c r="D185" s="49" t="s">
        <v>1518</v>
      </c>
      <c r="E185" s="49" t="s">
        <v>1519</v>
      </c>
      <c r="F185" s="53">
        <v>2.7821047E7</v>
      </c>
      <c r="G185" s="53" t="s">
        <v>1520</v>
      </c>
      <c r="H185" s="52" t="s">
        <v>1521</v>
      </c>
      <c r="I185" s="89" t="s">
        <v>1220</v>
      </c>
    </row>
    <row r="186" ht="15.75" customHeight="1">
      <c r="A186" s="47">
        <v>180.0</v>
      </c>
      <c r="B186" s="55" t="s">
        <v>1522</v>
      </c>
      <c r="C186" s="48" t="s">
        <v>1523</v>
      </c>
      <c r="D186" s="49" t="s">
        <v>1524</v>
      </c>
      <c r="E186" s="49" t="s">
        <v>1525</v>
      </c>
      <c r="F186" s="95">
        <v>3.9196666E7</v>
      </c>
      <c r="G186" s="53" t="s">
        <v>1526</v>
      </c>
      <c r="H186" s="52" t="s">
        <v>1527</v>
      </c>
      <c r="I186" s="89" t="s">
        <v>1220</v>
      </c>
    </row>
    <row r="187" ht="15.75" customHeight="1">
      <c r="A187" s="96" t="s">
        <v>574</v>
      </c>
      <c r="B187" s="97" t="s">
        <v>575</v>
      </c>
      <c r="C187" s="98" t="s">
        <v>1528</v>
      </c>
      <c r="D187" s="98" t="s">
        <v>577</v>
      </c>
      <c r="E187" s="98" t="s">
        <v>578</v>
      </c>
      <c r="F187" s="99" t="s">
        <v>579</v>
      </c>
      <c r="G187" s="100" t="s">
        <v>580</v>
      </c>
      <c r="H187" s="101" t="s">
        <v>581</v>
      </c>
      <c r="I187" s="102" t="s">
        <v>822</v>
      </c>
    </row>
    <row r="188" ht="15.75" customHeight="1">
      <c r="A188" s="47">
        <v>181.0</v>
      </c>
      <c r="B188" s="103" t="s">
        <v>1011</v>
      </c>
      <c r="C188" s="73" t="s">
        <v>1529</v>
      </c>
      <c r="D188" s="74" t="s">
        <v>1530</v>
      </c>
      <c r="E188" s="74" t="s">
        <v>1531</v>
      </c>
      <c r="F188" s="91">
        <v>2.0958308E7</v>
      </c>
      <c r="G188" s="91" t="s">
        <v>1532</v>
      </c>
      <c r="H188" s="104" t="s">
        <v>1533</v>
      </c>
      <c r="I188" s="105" t="s">
        <v>594</v>
      </c>
    </row>
    <row r="189" ht="15.75" customHeight="1">
      <c r="A189" s="106">
        <v>182.0</v>
      </c>
      <c r="B189" s="103" t="s">
        <v>1011</v>
      </c>
      <c r="C189" s="107" t="s">
        <v>1534</v>
      </c>
      <c r="D189" s="108" t="s">
        <v>1534</v>
      </c>
      <c r="E189" s="108" t="s">
        <v>1535</v>
      </c>
      <c r="F189" s="106">
        <v>2.4045491E7</v>
      </c>
      <c r="G189" s="106" t="s">
        <v>1536</v>
      </c>
      <c r="H189" s="109" t="s">
        <v>1537</v>
      </c>
      <c r="I189" s="105" t="s">
        <v>594</v>
      </c>
    </row>
    <row r="190" ht="15.75" customHeight="1">
      <c r="A190" s="47">
        <v>183.0</v>
      </c>
      <c r="B190" s="103" t="s">
        <v>1011</v>
      </c>
      <c r="C190" s="107" t="s">
        <v>1538</v>
      </c>
      <c r="D190" s="108" t="s">
        <v>1539</v>
      </c>
      <c r="E190" s="108" t="s">
        <v>1540</v>
      </c>
      <c r="F190" s="106">
        <v>2.7189913E7</v>
      </c>
      <c r="G190" s="106" t="s">
        <v>1541</v>
      </c>
      <c r="H190" s="109" t="s">
        <v>1542</v>
      </c>
      <c r="I190" s="105" t="s">
        <v>594</v>
      </c>
    </row>
    <row r="191" ht="15.75" customHeight="1">
      <c r="A191" s="106">
        <v>184.0</v>
      </c>
      <c r="B191" s="103" t="s">
        <v>1011</v>
      </c>
      <c r="C191" s="107" t="s">
        <v>1543</v>
      </c>
      <c r="D191" s="108" t="s">
        <v>1543</v>
      </c>
      <c r="E191" s="108" t="s">
        <v>1544</v>
      </c>
      <c r="F191" s="106">
        <v>2.2018155E7</v>
      </c>
      <c r="G191" s="106" t="s">
        <v>1545</v>
      </c>
      <c r="H191" s="109" t="s">
        <v>1546</v>
      </c>
      <c r="I191" s="105" t="s">
        <v>594</v>
      </c>
    </row>
    <row r="192" ht="15.75" customHeight="1">
      <c r="A192" s="47">
        <v>185.0</v>
      </c>
      <c r="B192" s="103" t="s">
        <v>1011</v>
      </c>
      <c r="C192" s="107" t="s">
        <v>1547</v>
      </c>
      <c r="D192" s="108" t="s">
        <v>1547</v>
      </c>
      <c r="E192" s="108" t="s">
        <v>1548</v>
      </c>
      <c r="F192" s="106">
        <v>1.202534E7</v>
      </c>
      <c r="G192" s="106" t="s">
        <v>1549</v>
      </c>
      <c r="H192" s="109" t="s">
        <v>1550</v>
      </c>
      <c r="I192" s="105" t="s">
        <v>594</v>
      </c>
    </row>
    <row r="193" ht="15.75" customHeight="1">
      <c r="A193" s="106">
        <v>186.0</v>
      </c>
      <c r="B193" s="103" t="s">
        <v>1011</v>
      </c>
      <c r="C193" s="107" t="s">
        <v>1551</v>
      </c>
      <c r="D193" s="108" t="s">
        <v>1552</v>
      </c>
      <c r="E193" s="108" t="s">
        <v>1553</v>
      </c>
      <c r="F193" s="106">
        <v>2.4257665E7</v>
      </c>
      <c r="G193" s="106" t="s">
        <v>1554</v>
      </c>
      <c r="H193" s="109" t="s">
        <v>1555</v>
      </c>
      <c r="I193" s="105" t="s">
        <v>594</v>
      </c>
    </row>
    <row r="194" ht="15.75" customHeight="1">
      <c r="A194" s="47">
        <v>187.0</v>
      </c>
      <c r="B194" s="103" t="s">
        <v>1011</v>
      </c>
      <c r="C194" s="107" t="s">
        <v>1556</v>
      </c>
      <c r="D194" s="108" t="s">
        <v>1547</v>
      </c>
      <c r="E194" s="108" t="s">
        <v>1557</v>
      </c>
      <c r="F194" s="106">
        <v>2.0183114E7</v>
      </c>
      <c r="G194" s="106" t="s">
        <v>1558</v>
      </c>
      <c r="H194" s="109" t="s">
        <v>1559</v>
      </c>
      <c r="I194" s="105" t="s">
        <v>594</v>
      </c>
    </row>
    <row r="195" ht="15.75" customHeight="1"/>
    <row r="196" ht="15.75" customHeight="1">
      <c r="B196" s="110"/>
      <c r="C196" s="111"/>
      <c r="D196" s="112"/>
    </row>
    <row r="197" ht="15.75" customHeight="1">
      <c r="B197" s="113">
        <v>1.0</v>
      </c>
      <c r="C197" s="114" t="s">
        <v>588</v>
      </c>
      <c r="D197" s="115" t="s">
        <v>1560</v>
      </c>
    </row>
    <row r="198" ht="15.75" customHeight="1">
      <c r="B198" s="116">
        <v>2.0</v>
      </c>
      <c r="C198" s="117" t="s">
        <v>1561</v>
      </c>
      <c r="D198" s="118" t="s">
        <v>1562</v>
      </c>
    </row>
    <row r="199" ht="15.75" customHeight="1">
      <c r="B199" s="119">
        <v>3.0</v>
      </c>
      <c r="C199" s="117" t="s">
        <v>1563</v>
      </c>
      <c r="D199" s="118" t="s">
        <v>1564</v>
      </c>
    </row>
    <row r="200" ht="15.75" customHeight="1">
      <c r="B200" s="120">
        <v>4.0</v>
      </c>
      <c r="C200" s="121" t="s">
        <v>1565</v>
      </c>
      <c r="D200" s="122" t="s">
        <v>1566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5.71"/>
    <col customWidth="1" min="3" max="3" width="35.14"/>
    <col customWidth="1" min="4" max="4" width="16.14"/>
    <col customWidth="1" min="5" max="5" width="17.86"/>
    <col customWidth="1" min="6" max="6" width="37.86"/>
    <col customWidth="1" min="7" max="7" width="20.43"/>
    <col customWidth="1" min="8" max="8" width="20.57"/>
    <col customWidth="1" min="9" max="9" width="19.57"/>
    <col customWidth="1" min="10" max="10" width="11.86"/>
    <col customWidth="1" min="11" max="11" width="19.57"/>
    <col customWidth="1" min="12" max="12" width="11.86"/>
    <col customWidth="1" min="13" max="26" width="10.71"/>
  </cols>
  <sheetData>
    <row r="2">
      <c r="C2" s="123" t="s">
        <v>1567</v>
      </c>
      <c r="D2" s="124" t="s">
        <v>1568</v>
      </c>
      <c r="E2" s="125" t="s">
        <v>1569</v>
      </c>
      <c r="F2" s="126" t="s">
        <v>1570</v>
      </c>
    </row>
    <row r="3">
      <c r="C3" s="127" t="s">
        <v>1571</v>
      </c>
      <c r="D3" s="128" t="s">
        <v>1572</v>
      </c>
      <c r="E3" s="129" t="s">
        <v>73</v>
      </c>
      <c r="F3" s="130">
        <v>207949.24</v>
      </c>
    </row>
    <row r="4">
      <c r="C4" s="131" t="s">
        <v>1571</v>
      </c>
      <c r="D4" s="117" t="s">
        <v>1572</v>
      </c>
      <c r="E4" s="132" t="s">
        <v>1227</v>
      </c>
      <c r="F4" s="133">
        <v>207949.24</v>
      </c>
    </row>
    <row r="5">
      <c r="C5" s="131" t="s">
        <v>1571</v>
      </c>
      <c r="D5" s="117" t="s">
        <v>1573</v>
      </c>
      <c r="E5" s="132" t="s">
        <v>125</v>
      </c>
      <c r="F5" s="133">
        <v>249539.09</v>
      </c>
    </row>
    <row r="6">
      <c r="C6" s="131" t="s">
        <v>1574</v>
      </c>
      <c r="D6" s="117" t="s">
        <v>1575</v>
      </c>
      <c r="E6" s="132" t="s">
        <v>125</v>
      </c>
      <c r="F6" s="133">
        <v>249539.09</v>
      </c>
    </row>
    <row r="7">
      <c r="C7" s="131" t="s">
        <v>1574</v>
      </c>
      <c r="D7" s="117" t="s">
        <v>1576</v>
      </c>
      <c r="E7" s="132" t="s">
        <v>184</v>
      </c>
      <c r="F7" s="133">
        <v>249539.09</v>
      </c>
    </row>
    <row r="8">
      <c r="C8" s="131" t="s">
        <v>1577</v>
      </c>
      <c r="D8" s="117" t="s">
        <v>1578</v>
      </c>
      <c r="E8" s="132" t="s">
        <v>1239</v>
      </c>
      <c r="F8" s="133">
        <v>57091.78</v>
      </c>
    </row>
    <row r="9">
      <c r="C9" s="131" t="s">
        <v>1577</v>
      </c>
      <c r="D9" s="117" t="s">
        <v>1578</v>
      </c>
      <c r="E9" s="132" t="s">
        <v>1579</v>
      </c>
      <c r="F9" s="133">
        <v>48935.72</v>
      </c>
    </row>
    <row r="10">
      <c r="C10" s="131" t="s">
        <v>1580</v>
      </c>
      <c r="D10" s="117" t="s">
        <v>1581</v>
      </c>
      <c r="E10" s="132" t="s">
        <v>125</v>
      </c>
      <c r="F10" s="133">
        <v>253000.0</v>
      </c>
    </row>
    <row r="11">
      <c r="C11" s="131" t="s">
        <v>1577</v>
      </c>
      <c r="D11" s="117" t="s">
        <v>1578</v>
      </c>
      <c r="E11" s="132" t="s">
        <v>184</v>
      </c>
      <c r="F11" s="133">
        <v>63250.0</v>
      </c>
    </row>
    <row r="12">
      <c r="C12" s="131" t="s">
        <v>1580</v>
      </c>
      <c r="D12" s="117" t="s">
        <v>1581</v>
      </c>
      <c r="E12" s="132" t="s">
        <v>125</v>
      </c>
      <c r="F12" s="133">
        <v>253000.0</v>
      </c>
    </row>
    <row r="13">
      <c r="C13" s="134" t="s">
        <v>1582</v>
      </c>
      <c r="D13" s="121" t="s">
        <v>1583</v>
      </c>
      <c r="E13" s="135" t="s">
        <v>125</v>
      </c>
      <c r="F13" s="136">
        <v>415898.48</v>
      </c>
    </row>
    <row r="15">
      <c r="C15" s="137" t="s">
        <v>1584</v>
      </c>
      <c r="D15" s="138"/>
    </row>
    <row r="16">
      <c r="C16" s="139" t="s">
        <v>1585</v>
      </c>
      <c r="D16" s="140"/>
    </row>
    <row r="18">
      <c r="C18" s="141" t="s">
        <v>574</v>
      </c>
      <c r="D18" s="97" t="s">
        <v>575</v>
      </c>
      <c r="E18" s="98" t="s">
        <v>1129</v>
      </c>
      <c r="F18" s="142" t="s">
        <v>577</v>
      </c>
      <c r="G18" s="143"/>
      <c r="H18" s="144"/>
      <c r="I18" s="144"/>
      <c r="J18" s="144"/>
      <c r="K18" s="144"/>
      <c r="L18" s="144"/>
      <c r="M18" s="145"/>
    </row>
    <row r="19">
      <c r="C19" s="146">
        <v>1.0</v>
      </c>
      <c r="D19" s="147" t="s">
        <v>1011</v>
      </c>
      <c r="E19" s="148" t="s">
        <v>64</v>
      </c>
      <c r="F19" s="149" t="s">
        <v>1130</v>
      </c>
      <c r="G19" s="150" t="s">
        <v>1586</v>
      </c>
      <c r="H19" s="150" t="s">
        <v>1587</v>
      </c>
      <c r="I19" s="150" t="s">
        <v>1588</v>
      </c>
      <c r="J19" s="150">
        <v>2.7161410441E10</v>
      </c>
      <c r="K19" s="150" t="s">
        <v>1589</v>
      </c>
      <c r="L19" s="150" t="s">
        <v>1590</v>
      </c>
      <c r="M19" s="150" t="s">
        <v>125</v>
      </c>
    </row>
    <row r="20">
      <c r="C20" s="151"/>
      <c r="D20" s="152"/>
      <c r="E20" s="152"/>
      <c r="F20" s="152"/>
      <c r="G20" s="152" t="s">
        <v>1591</v>
      </c>
      <c r="H20" s="152" t="s">
        <v>1592</v>
      </c>
      <c r="I20" s="152" t="s">
        <v>1588</v>
      </c>
      <c r="J20" s="152">
        <v>2.0338551631E10</v>
      </c>
      <c r="K20" s="152" t="s">
        <v>1589</v>
      </c>
      <c r="L20" s="152" t="s">
        <v>1581</v>
      </c>
      <c r="M20" s="152" t="s">
        <v>125</v>
      </c>
    </row>
    <row r="21" ht="15.75" customHeight="1">
      <c r="C21" s="151"/>
      <c r="D21" s="152"/>
      <c r="E21" s="152"/>
      <c r="F21" s="152"/>
      <c r="G21" s="152" t="s">
        <v>1593</v>
      </c>
      <c r="H21" s="152" t="s">
        <v>1594</v>
      </c>
      <c r="I21" s="152" t="s">
        <v>1588</v>
      </c>
      <c r="J21" s="152">
        <v>2.0045249698E10</v>
      </c>
      <c r="K21" s="152" t="s">
        <v>1589</v>
      </c>
      <c r="L21" s="152" t="s">
        <v>1590</v>
      </c>
      <c r="M21" s="152" t="s">
        <v>125</v>
      </c>
    </row>
    <row r="22" ht="15.75" customHeight="1">
      <c r="C22" s="153"/>
      <c r="D22" s="154"/>
      <c r="E22" s="154"/>
      <c r="F22" s="154"/>
      <c r="G22" s="154" t="s">
        <v>1595</v>
      </c>
      <c r="H22" s="154" t="s">
        <v>1596</v>
      </c>
      <c r="I22" s="154" t="s">
        <v>1588</v>
      </c>
      <c r="J22" s="154">
        <v>2.7206626734E10</v>
      </c>
      <c r="K22" s="154" t="s">
        <v>1589</v>
      </c>
      <c r="L22" s="154" t="s">
        <v>1581</v>
      </c>
      <c r="M22" s="154" t="s">
        <v>125</v>
      </c>
    </row>
    <row r="23" ht="15.75" customHeight="1">
      <c r="C23" s="155">
        <v>2.0</v>
      </c>
      <c r="D23" s="156" t="s">
        <v>1011</v>
      </c>
      <c r="E23" s="157" t="s">
        <v>70</v>
      </c>
      <c r="F23" s="158" t="s">
        <v>1134</v>
      </c>
      <c r="G23" s="128" t="s">
        <v>1597</v>
      </c>
      <c r="H23" s="128" t="s">
        <v>1598</v>
      </c>
      <c r="I23" s="128" t="s">
        <v>1588</v>
      </c>
      <c r="J23" s="128">
        <v>2.7274825559E10</v>
      </c>
      <c r="K23" s="128" t="s">
        <v>1589</v>
      </c>
      <c r="L23" s="128" t="s">
        <v>1590</v>
      </c>
      <c r="M23" s="128" t="s">
        <v>125</v>
      </c>
    </row>
    <row r="24" ht="15.75" customHeight="1">
      <c r="C24" s="131"/>
      <c r="D24" s="117"/>
      <c r="E24" s="117"/>
      <c r="F24" s="117"/>
      <c r="G24" s="117" t="s">
        <v>1597</v>
      </c>
      <c r="H24" s="117" t="s">
        <v>1599</v>
      </c>
      <c r="I24" s="117" t="s">
        <v>1588</v>
      </c>
      <c r="J24" s="117">
        <v>2.7290897993E10</v>
      </c>
      <c r="K24" s="117" t="s">
        <v>1589</v>
      </c>
      <c r="L24" s="117" t="s">
        <v>1581</v>
      </c>
      <c r="M24" s="117" t="s">
        <v>125</v>
      </c>
    </row>
    <row r="25" ht="15.75" customHeight="1">
      <c r="C25" s="131"/>
      <c r="D25" s="117"/>
      <c r="E25" s="117"/>
      <c r="F25" s="117"/>
      <c r="G25" s="117" t="s">
        <v>1600</v>
      </c>
      <c r="H25" s="117" t="s">
        <v>1601</v>
      </c>
      <c r="I25" s="117" t="s">
        <v>1588</v>
      </c>
      <c r="J25" s="117">
        <v>2.0263747721E10</v>
      </c>
      <c r="K25" s="117" t="s">
        <v>1589</v>
      </c>
      <c r="L25" s="117" t="s">
        <v>1581</v>
      </c>
      <c r="M25" s="117" t="s">
        <v>125</v>
      </c>
    </row>
    <row r="26" ht="15.75" customHeight="1">
      <c r="C26" s="134"/>
      <c r="D26" s="121"/>
      <c r="E26" s="121"/>
      <c r="F26" s="121"/>
      <c r="G26" s="121" t="s">
        <v>1602</v>
      </c>
      <c r="H26" s="121" t="s">
        <v>1603</v>
      </c>
      <c r="I26" s="121" t="s">
        <v>1588</v>
      </c>
      <c r="J26" s="121">
        <v>2.742743331E10</v>
      </c>
      <c r="K26" s="121" t="s">
        <v>1589</v>
      </c>
      <c r="L26" s="121" t="s">
        <v>1581</v>
      </c>
      <c r="M26" s="121" t="s">
        <v>125</v>
      </c>
    </row>
    <row r="27" ht="15.75" customHeight="1">
      <c r="C27" s="146">
        <v>3.0</v>
      </c>
      <c r="D27" s="147" t="s">
        <v>1011</v>
      </c>
      <c r="E27" s="148" t="s">
        <v>53</v>
      </c>
      <c r="F27" s="149" t="s">
        <v>1138</v>
      </c>
      <c r="G27" s="150" t="s">
        <v>1604</v>
      </c>
      <c r="H27" s="150" t="s">
        <v>1605</v>
      </c>
      <c r="I27" s="150" t="s">
        <v>1606</v>
      </c>
      <c r="J27" s="150">
        <v>2.7271896226E10</v>
      </c>
      <c r="K27" s="150" t="s">
        <v>1571</v>
      </c>
      <c r="L27" s="150" t="s">
        <v>1573</v>
      </c>
      <c r="M27" s="150" t="s">
        <v>125</v>
      </c>
    </row>
    <row r="28" ht="15.75" customHeight="1">
      <c r="C28" s="151"/>
      <c r="D28" s="152"/>
      <c r="E28" s="152"/>
      <c r="F28" s="152"/>
      <c r="G28" s="152" t="s">
        <v>1607</v>
      </c>
      <c r="H28" s="152" t="s">
        <v>1608</v>
      </c>
      <c r="I28" s="152" t="s">
        <v>1588</v>
      </c>
      <c r="J28" s="152">
        <v>2.4312340808E10</v>
      </c>
      <c r="K28" s="152" t="s">
        <v>1571</v>
      </c>
      <c r="L28" s="152" t="s">
        <v>1573</v>
      </c>
      <c r="M28" s="152" t="s">
        <v>125</v>
      </c>
    </row>
    <row r="29" ht="15.75" customHeight="1">
      <c r="C29" s="151"/>
      <c r="D29" s="152"/>
      <c r="E29" s="152"/>
      <c r="F29" s="152"/>
      <c r="G29" s="152" t="s">
        <v>1609</v>
      </c>
      <c r="H29" s="152" t="s">
        <v>1610</v>
      </c>
      <c r="I29" s="152" t="s">
        <v>1588</v>
      </c>
      <c r="J29" s="152">
        <v>2.727482537E10</v>
      </c>
      <c r="K29" s="152" t="s">
        <v>1571</v>
      </c>
      <c r="L29" s="152" t="s">
        <v>1611</v>
      </c>
      <c r="M29" s="152" t="s">
        <v>73</v>
      </c>
    </row>
    <row r="30" ht="15.75" customHeight="1">
      <c r="C30" s="153"/>
      <c r="D30" s="154"/>
      <c r="E30" s="154"/>
      <c r="F30" s="154"/>
      <c r="G30" s="154" t="s">
        <v>1612</v>
      </c>
      <c r="H30" s="154" t="s">
        <v>1613</v>
      </c>
      <c r="I30" s="154" t="s">
        <v>1588</v>
      </c>
      <c r="J30" s="154">
        <v>2.7294370523E10</v>
      </c>
      <c r="K30" s="154" t="s">
        <v>1571</v>
      </c>
      <c r="L30" s="154" t="s">
        <v>1611</v>
      </c>
      <c r="M30" s="154" t="s">
        <v>73</v>
      </c>
    </row>
    <row r="31" ht="15.75" customHeight="1">
      <c r="C31" s="159">
        <v>4.0</v>
      </c>
      <c r="D31" s="156" t="s">
        <v>1011</v>
      </c>
      <c r="E31" s="157" t="s">
        <v>1142</v>
      </c>
      <c r="F31" s="158" t="s">
        <v>57</v>
      </c>
      <c r="G31" s="128" t="s">
        <v>1614</v>
      </c>
      <c r="H31" s="128" t="s">
        <v>1615</v>
      </c>
      <c r="I31" s="128" t="s">
        <v>1588</v>
      </c>
      <c r="J31" s="128">
        <v>2.7218704129E10</v>
      </c>
      <c r="K31" s="128" t="s">
        <v>1571</v>
      </c>
      <c r="L31" s="128" t="s">
        <v>1573</v>
      </c>
      <c r="M31" s="128" t="s">
        <v>125</v>
      </c>
    </row>
    <row r="32" ht="15.75" customHeight="1">
      <c r="C32" s="131"/>
      <c r="D32" s="117"/>
      <c r="E32" s="117"/>
      <c r="F32" s="117"/>
      <c r="G32" s="117" t="s">
        <v>1616</v>
      </c>
      <c r="H32" s="117" t="s">
        <v>1617</v>
      </c>
      <c r="I32" s="117" t="s">
        <v>1588</v>
      </c>
      <c r="J32" s="117">
        <v>2.7206763073E10</v>
      </c>
      <c r="K32" s="117" t="s">
        <v>1571</v>
      </c>
      <c r="L32" s="117" t="s">
        <v>1611</v>
      </c>
      <c r="M32" s="117" t="s">
        <v>73</v>
      </c>
    </row>
    <row r="33" ht="15.75" customHeight="1">
      <c r="C33" s="131"/>
      <c r="D33" s="117"/>
      <c r="E33" s="117"/>
      <c r="F33" s="117"/>
      <c r="G33" s="117" t="s">
        <v>1618</v>
      </c>
      <c r="H33" s="117" t="s">
        <v>1619</v>
      </c>
      <c r="I33" s="117" t="s">
        <v>1588</v>
      </c>
      <c r="J33" s="117">
        <v>2.7166746642E10</v>
      </c>
      <c r="K33" s="117" t="s">
        <v>1571</v>
      </c>
      <c r="L33" s="117" t="s">
        <v>1611</v>
      </c>
      <c r="M33" s="117" t="s">
        <v>73</v>
      </c>
    </row>
    <row r="34" ht="15.75" customHeight="1">
      <c r="C34" s="134"/>
      <c r="D34" s="121"/>
      <c r="E34" s="121"/>
      <c r="F34" s="121"/>
      <c r="G34" s="121" t="s">
        <v>1620</v>
      </c>
      <c r="H34" s="121" t="s">
        <v>1621</v>
      </c>
      <c r="I34" s="121" t="s">
        <v>1588</v>
      </c>
      <c r="J34" s="121">
        <v>2.7312340726E10</v>
      </c>
      <c r="K34" s="121" t="s">
        <v>1571</v>
      </c>
      <c r="L34" s="121" t="s">
        <v>1611</v>
      </c>
      <c r="M34" s="121" t="s">
        <v>73</v>
      </c>
    </row>
    <row r="35" ht="15.75" customHeight="1">
      <c r="C35" s="146">
        <v>5.0</v>
      </c>
      <c r="D35" s="147" t="s">
        <v>1011</v>
      </c>
      <c r="E35" s="148" t="s">
        <v>1153</v>
      </c>
      <c r="F35" s="149" t="s">
        <v>57</v>
      </c>
      <c r="G35" s="150" t="s">
        <v>1622</v>
      </c>
      <c r="H35" s="150" t="s">
        <v>1623</v>
      </c>
      <c r="I35" s="160" t="s">
        <v>1606</v>
      </c>
      <c r="J35" s="150">
        <v>2.7243178466E10</v>
      </c>
      <c r="K35" s="150" t="s">
        <v>1571</v>
      </c>
      <c r="L35" s="150" t="s">
        <v>1573</v>
      </c>
      <c r="M35" s="150" t="s">
        <v>125</v>
      </c>
    </row>
    <row r="36" ht="15.75" customHeight="1">
      <c r="C36" s="159">
        <v>6.0</v>
      </c>
      <c r="D36" s="156" t="s">
        <v>1011</v>
      </c>
      <c r="E36" s="157" t="s">
        <v>1157</v>
      </c>
      <c r="F36" s="158" t="s">
        <v>1158</v>
      </c>
      <c r="G36" s="117" t="s">
        <v>1624</v>
      </c>
      <c r="H36" s="117" t="s">
        <v>1625</v>
      </c>
      <c r="I36" s="117" t="s">
        <v>1626</v>
      </c>
      <c r="J36" s="117">
        <v>2.7246651626E10</v>
      </c>
      <c r="K36" s="117" t="s">
        <v>1589</v>
      </c>
      <c r="L36" s="117" t="s">
        <v>1572</v>
      </c>
      <c r="M36" s="117" t="s">
        <v>1227</v>
      </c>
    </row>
    <row r="37" ht="15.75" customHeight="1">
      <c r="C37" s="131"/>
      <c r="D37" s="117"/>
      <c r="E37" s="117"/>
      <c r="F37" s="117"/>
      <c r="G37" s="117" t="s">
        <v>1627</v>
      </c>
      <c r="H37" s="117" t="s">
        <v>1628</v>
      </c>
      <c r="I37" s="117" t="s">
        <v>1626</v>
      </c>
      <c r="J37" s="117">
        <v>2.7246890523E10</v>
      </c>
      <c r="K37" s="117" t="s">
        <v>1589</v>
      </c>
      <c r="L37" s="117" t="s">
        <v>1572</v>
      </c>
      <c r="M37" s="117" t="s">
        <v>1227</v>
      </c>
    </row>
    <row r="38" ht="15.75" customHeight="1">
      <c r="C38" s="131"/>
      <c r="D38" s="117"/>
      <c r="E38" s="117"/>
      <c r="F38" s="117"/>
      <c r="G38" s="117" t="s">
        <v>1629</v>
      </c>
      <c r="H38" s="117" t="s">
        <v>1630</v>
      </c>
      <c r="I38" s="117" t="s">
        <v>1588</v>
      </c>
      <c r="J38" s="117">
        <v>2.7300958716E10</v>
      </c>
      <c r="K38" s="117" t="s">
        <v>1571</v>
      </c>
      <c r="L38" s="117" t="s">
        <v>1611</v>
      </c>
      <c r="M38" s="117" t="s">
        <v>73</v>
      </c>
    </row>
    <row r="39" ht="15.75" customHeight="1">
      <c r="C39" s="131"/>
      <c r="D39" s="117"/>
      <c r="E39" s="117"/>
      <c r="F39" s="117"/>
      <c r="G39" s="117" t="s">
        <v>1631</v>
      </c>
      <c r="H39" s="117" t="s">
        <v>1632</v>
      </c>
      <c r="I39" s="117" t="s">
        <v>1626</v>
      </c>
      <c r="J39" s="117">
        <v>2.724107168E10</v>
      </c>
      <c r="K39" s="117" t="s">
        <v>1589</v>
      </c>
      <c r="L39" s="117" t="s">
        <v>1572</v>
      </c>
      <c r="M39" s="117" t="s">
        <v>1227</v>
      </c>
    </row>
    <row r="40" ht="15.75" customHeight="1">
      <c r="C40" s="131"/>
      <c r="D40" s="117"/>
      <c r="E40" s="117"/>
      <c r="F40" s="117"/>
      <c r="G40" s="117" t="s">
        <v>1633</v>
      </c>
      <c r="H40" s="117" t="s">
        <v>1634</v>
      </c>
      <c r="I40" s="117" t="s">
        <v>1626</v>
      </c>
      <c r="J40" s="117">
        <v>2.3397801454E10</v>
      </c>
      <c r="K40" s="117" t="s">
        <v>1589</v>
      </c>
      <c r="L40" s="117" t="s">
        <v>1572</v>
      </c>
      <c r="M40" s="117" t="s">
        <v>1227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4.0"/>
    <col customWidth="1" min="4" max="4" width="16.71"/>
    <col customWidth="1" min="5" max="5" width="23.86"/>
    <col customWidth="1" min="6" max="26" width="10.71"/>
  </cols>
  <sheetData>
    <row r="2">
      <c r="B2" s="161" t="s">
        <v>1635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3"/>
    </row>
    <row r="3">
      <c r="B3" s="164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6"/>
    </row>
    <row r="4">
      <c r="B4" s="167"/>
      <c r="C4" s="168" t="s">
        <v>7</v>
      </c>
      <c r="D4" s="169" t="s">
        <v>1636</v>
      </c>
      <c r="E4" s="170" t="s">
        <v>1637</v>
      </c>
      <c r="F4" s="167"/>
      <c r="G4" s="167"/>
      <c r="H4" s="167"/>
      <c r="I4" s="167"/>
      <c r="J4" s="167"/>
      <c r="K4" s="167"/>
      <c r="L4" s="167"/>
      <c r="M4" s="167"/>
      <c r="N4" s="167"/>
    </row>
    <row r="5">
      <c r="C5" s="171" t="s">
        <v>1588</v>
      </c>
      <c r="D5" s="171">
        <v>52.0</v>
      </c>
      <c r="E5" s="172">
        <v>800.0</v>
      </c>
      <c r="F5" s="167"/>
      <c r="J5" s="167"/>
      <c r="K5" s="167"/>
      <c r="L5" s="167"/>
      <c r="M5" s="167"/>
      <c r="N5" s="167"/>
    </row>
    <row r="6">
      <c r="C6" s="173" t="s">
        <v>1638</v>
      </c>
      <c r="D6" s="173">
        <v>20.0</v>
      </c>
      <c r="E6" s="174">
        <v>1500.0</v>
      </c>
      <c r="F6" s="167"/>
      <c r="J6" s="167"/>
      <c r="K6" s="167"/>
      <c r="L6" s="167"/>
      <c r="M6" s="167"/>
      <c r="N6" s="167"/>
    </row>
    <row r="7">
      <c r="C7" s="175" t="s">
        <v>1639</v>
      </c>
      <c r="D7" s="176"/>
      <c r="E7" s="177"/>
      <c r="F7" s="167"/>
      <c r="J7" s="167"/>
      <c r="K7" s="167"/>
      <c r="L7" s="167"/>
      <c r="M7" s="167"/>
      <c r="N7" s="167"/>
    </row>
    <row r="11" ht="15.0" customHeight="1">
      <c r="B11" s="161" t="s">
        <v>1640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3"/>
    </row>
    <row r="12" ht="15.75" customHeight="1">
      <c r="B12" s="164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6"/>
    </row>
    <row r="14">
      <c r="C14" s="178" t="s">
        <v>1641</v>
      </c>
      <c r="D14" s="179"/>
      <c r="E14" s="179"/>
      <c r="F14" s="179"/>
      <c r="G14" s="179"/>
      <c r="H14" s="179"/>
      <c r="I14" s="180"/>
    </row>
    <row r="16">
      <c r="C16" s="181" t="s">
        <v>1642</v>
      </c>
      <c r="D16" s="181" t="s">
        <v>1637</v>
      </c>
    </row>
    <row r="17">
      <c r="C17" s="132" t="s">
        <v>1643</v>
      </c>
      <c r="D17" s="132">
        <v>6.0</v>
      </c>
    </row>
    <row r="18">
      <c r="C18" s="132" t="s">
        <v>1644</v>
      </c>
      <c r="D18" s="132">
        <v>77.0</v>
      </c>
    </row>
    <row r="19">
      <c r="C19" s="132" t="s">
        <v>1645</v>
      </c>
      <c r="D19" s="132">
        <v>2.0</v>
      </c>
    </row>
    <row r="20">
      <c r="C20" s="132" t="s">
        <v>1646</v>
      </c>
      <c r="D20" s="132">
        <v>6.0</v>
      </c>
    </row>
    <row r="21" ht="15.75" customHeight="1">
      <c r="C21" s="132" t="s">
        <v>1647</v>
      </c>
      <c r="D21" s="132">
        <v>4.0</v>
      </c>
    </row>
    <row r="22" ht="15.75" customHeight="1">
      <c r="C22" s="132" t="s">
        <v>1588</v>
      </c>
      <c r="D22" s="132">
        <v>749.0</v>
      </c>
    </row>
    <row r="23" ht="15.75" customHeight="1">
      <c r="C23" s="132" t="s">
        <v>1648</v>
      </c>
      <c r="D23" s="132">
        <v>4.0</v>
      </c>
    </row>
    <row r="24" ht="15.75" customHeight="1">
      <c r="C24" s="132" t="s">
        <v>1649</v>
      </c>
      <c r="D24" s="132">
        <v>7.0</v>
      </c>
    </row>
    <row r="25" ht="15.75" customHeight="1">
      <c r="C25" s="132" t="s">
        <v>1650</v>
      </c>
      <c r="D25" s="132">
        <v>9.0</v>
      </c>
    </row>
    <row r="26" ht="15.75" customHeight="1">
      <c r="C26" s="132" t="s">
        <v>1651</v>
      </c>
      <c r="D26" s="132">
        <v>83.0</v>
      </c>
    </row>
    <row r="27" ht="15.75" customHeight="1">
      <c r="C27" s="132" t="s">
        <v>1652</v>
      </c>
      <c r="D27" s="132">
        <v>29.0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N3"/>
    <mergeCell ref="C7:E7"/>
    <mergeCell ref="B11:N12"/>
    <mergeCell ref="C14:I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41.14"/>
    <col customWidth="1" min="4" max="4" width="35.57"/>
    <col customWidth="1" min="5" max="5" width="12.71"/>
    <col customWidth="1" min="6" max="26" width="10.71"/>
  </cols>
  <sheetData>
    <row r="1">
      <c r="B1" s="167" t="s">
        <v>1653</v>
      </c>
    </row>
    <row r="3"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</row>
    <row r="4">
      <c r="C4" s="182" t="s">
        <v>1654</v>
      </c>
      <c r="D4" s="183">
        <v>86.0</v>
      </c>
      <c r="E4" s="167"/>
      <c r="F4" s="167"/>
      <c r="J4" s="167"/>
      <c r="K4" s="167"/>
      <c r="L4" s="167"/>
      <c r="M4" s="167"/>
      <c r="N4" s="167"/>
    </row>
    <row r="5">
      <c r="C5" s="184" t="s">
        <v>1655</v>
      </c>
      <c r="D5" s="185">
        <v>63.0</v>
      </c>
      <c r="E5" s="167"/>
      <c r="F5" s="167"/>
      <c r="J5" s="167"/>
      <c r="K5" s="167"/>
      <c r="L5" s="167"/>
      <c r="M5" s="167"/>
      <c r="N5" s="167"/>
    </row>
    <row r="6">
      <c r="C6" s="186" t="s">
        <v>1656</v>
      </c>
      <c r="D6" s="187">
        <v>6.0</v>
      </c>
      <c r="E6" s="167"/>
      <c r="F6" s="167"/>
      <c r="J6" s="167"/>
      <c r="K6" s="167"/>
      <c r="L6" s="167"/>
      <c r="M6" s="167"/>
      <c r="N6" s="167"/>
    </row>
    <row r="7">
      <c r="C7" s="188" t="s">
        <v>1657</v>
      </c>
      <c r="D7" s="189">
        <v>155.0</v>
      </c>
      <c r="E7" s="167"/>
      <c r="F7" s="167"/>
      <c r="J7" s="167"/>
      <c r="K7" s="167"/>
      <c r="L7" s="167"/>
      <c r="M7" s="167"/>
      <c r="N7" s="167"/>
    </row>
    <row r="8">
      <c r="B8" s="167"/>
      <c r="C8" s="167"/>
      <c r="D8" s="167"/>
      <c r="E8" s="167"/>
      <c r="F8" s="167"/>
      <c r="J8" s="167"/>
      <c r="K8" s="167"/>
      <c r="L8" s="167"/>
      <c r="M8" s="167"/>
      <c r="N8" s="167"/>
    </row>
    <row r="9">
      <c r="B9" s="167"/>
      <c r="C9" s="186" t="s">
        <v>1658</v>
      </c>
      <c r="D9" s="190"/>
      <c r="E9" s="191"/>
      <c r="F9" s="167"/>
      <c r="J9" s="167"/>
      <c r="K9" s="167"/>
      <c r="L9" s="167"/>
      <c r="M9" s="167"/>
      <c r="N9" s="167"/>
    </row>
    <row r="10">
      <c r="B10" s="167"/>
      <c r="C10" s="119">
        <v>1.0</v>
      </c>
      <c r="D10" s="192" t="s">
        <v>1659</v>
      </c>
      <c r="E10" s="193" t="s">
        <v>1660</v>
      </c>
      <c r="F10" s="167"/>
      <c r="J10" s="167"/>
      <c r="K10" s="167"/>
      <c r="L10" s="167"/>
      <c r="M10" s="167"/>
      <c r="N10" s="167"/>
    </row>
    <row r="11">
      <c r="B11" s="167"/>
      <c r="C11" s="116">
        <v>2.0</v>
      </c>
      <c r="D11" s="117" t="s">
        <v>1661</v>
      </c>
      <c r="E11" s="194" t="s">
        <v>1660</v>
      </c>
      <c r="F11" s="167"/>
      <c r="J11" s="167"/>
      <c r="K11" s="167"/>
      <c r="L11" s="167"/>
      <c r="M11" s="167"/>
      <c r="N11" s="167"/>
    </row>
    <row r="12">
      <c r="B12" s="167"/>
      <c r="C12" s="116">
        <v>3.0</v>
      </c>
      <c r="D12" s="117" t="s">
        <v>1662</v>
      </c>
      <c r="E12" s="194" t="s">
        <v>1663</v>
      </c>
      <c r="F12" s="167"/>
      <c r="J12" s="167"/>
      <c r="K12" s="167"/>
      <c r="L12" s="167"/>
      <c r="M12" s="167"/>
      <c r="N12" s="167"/>
    </row>
    <row r="13">
      <c r="B13" s="167"/>
      <c r="C13" s="116">
        <v>4.0</v>
      </c>
      <c r="D13" s="117" t="s">
        <v>1664</v>
      </c>
      <c r="E13" s="194" t="s">
        <v>1665</v>
      </c>
      <c r="F13" s="167"/>
      <c r="J13" s="167"/>
      <c r="K13" s="167"/>
      <c r="L13" s="167"/>
      <c r="M13" s="167"/>
      <c r="N13" s="167"/>
    </row>
    <row r="14">
      <c r="B14" s="167"/>
      <c r="C14" s="116">
        <v>5.0</v>
      </c>
      <c r="D14" s="117" t="s">
        <v>1666</v>
      </c>
      <c r="E14" s="194" t="s">
        <v>1665</v>
      </c>
      <c r="F14" s="167"/>
      <c r="J14" s="167"/>
      <c r="K14" s="167"/>
      <c r="L14" s="167"/>
      <c r="M14" s="167"/>
      <c r="N14" s="167"/>
    </row>
    <row r="15">
      <c r="B15" s="167"/>
      <c r="C15" s="116">
        <v>6.0</v>
      </c>
      <c r="D15" s="117" t="s">
        <v>1667</v>
      </c>
      <c r="E15" s="194" t="s">
        <v>1668</v>
      </c>
      <c r="F15" s="167"/>
      <c r="J15" s="167"/>
      <c r="K15" s="167"/>
      <c r="L15" s="167"/>
      <c r="M15" s="167"/>
      <c r="N15" s="167"/>
    </row>
    <row r="16">
      <c r="B16" s="167"/>
      <c r="C16" s="116">
        <v>7.0</v>
      </c>
      <c r="D16" s="117" t="s">
        <v>1669</v>
      </c>
      <c r="E16" s="194" t="s">
        <v>1668</v>
      </c>
      <c r="F16" s="167"/>
      <c r="I16" s="195"/>
      <c r="J16" s="167"/>
      <c r="K16" s="167"/>
      <c r="L16" s="167"/>
      <c r="M16" s="167"/>
      <c r="N16" s="167"/>
    </row>
    <row r="17">
      <c r="B17" s="167"/>
      <c r="C17" s="116">
        <v>8.0</v>
      </c>
      <c r="D17" s="117" t="s">
        <v>1670</v>
      </c>
      <c r="E17" s="194" t="s">
        <v>1671</v>
      </c>
      <c r="F17" s="167"/>
      <c r="I17" s="195"/>
      <c r="J17" s="167"/>
      <c r="K17" s="167"/>
      <c r="L17" s="167"/>
      <c r="M17" s="167"/>
      <c r="N17" s="167"/>
    </row>
    <row r="18">
      <c r="B18" s="167"/>
      <c r="C18" s="120">
        <v>9.0</v>
      </c>
      <c r="D18" s="121" t="s">
        <v>1672</v>
      </c>
      <c r="E18" s="196" t="s">
        <v>1671</v>
      </c>
      <c r="F18" s="167"/>
      <c r="I18" s="195"/>
      <c r="J18" s="167"/>
      <c r="K18" s="167"/>
      <c r="L18" s="167"/>
      <c r="M18" s="167"/>
      <c r="N18" s="167"/>
    </row>
    <row r="19">
      <c r="B19" s="167"/>
      <c r="C19" s="197"/>
      <c r="D19" s="198"/>
      <c r="E19" s="199" t="s">
        <v>1673</v>
      </c>
      <c r="F19" s="167"/>
      <c r="I19" s="195"/>
      <c r="J19" s="167"/>
      <c r="K19" s="167"/>
      <c r="L19" s="167"/>
      <c r="M19" s="167"/>
      <c r="N19" s="167"/>
    </row>
    <row r="20">
      <c r="A20" s="178" t="s">
        <v>1674</v>
      </c>
      <c r="B20" s="179"/>
      <c r="C20" s="179"/>
      <c r="D20" s="179"/>
      <c r="E20" s="179"/>
      <c r="F20" s="179"/>
      <c r="G20" s="180"/>
      <c r="I20" s="195"/>
      <c r="J20" s="167"/>
      <c r="K20" s="167"/>
      <c r="L20" s="167"/>
      <c r="M20" s="167"/>
      <c r="N20" s="167"/>
    </row>
    <row r="21" ht="15.75" customHeight="1">
      <c r="B21" s="167"/>
      <c r="C21" s="197"/>
      <c r="D21" s="198"/>
      <c r="E21" s="195"/>
      <c r="F21" s="167"/>
      <c r="I21" s="195"/>
      <c r="J21" s="167"/>
      <c r="K21" s="167"/>
      <c r="L21" s="167"/>
      <c r="M21" s="167"/>
      <c r="N21" s="167"/>
    </row>
    <row r="22" ht="15.75" customHeight="1">
      <c r="B22" s="167"/>
      <c r="F22" s="167"/>
      <c r="G22" s="167"/>
      <c r="H22" s="167"/>
      <c r="I22" s="167"/>
      <c r="J22" s="167"/>
      <c r="K22" s="167"/>
      <c r="L22" s="167"/>
      <c r="M22" s="167"/>
      <c r="N22" s="167"/>
    </row>
    <row r="23" ht="15.75" customHeight="1">
      <c r="A23" s="200" t="s">
        <v>1675</v>
      </c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1"/>
    </row>
    <row r="24" ht="15.75" customHeight="1">
      <c r="A24" s="201" t="s">
        <v>574</v>
      </c>
      <c r="B24" s="202" t="s">
        <v>1676</v>
      </c>
      <c r="C24" s="203" t="s">
        <v>1677</v>
      </c>
      <c r="D24" s="203" t="s">
        <v>578</v>
      </c>
      <c r="E24" s="203" t="s">
        <v>1678</v>
      </c>
      <c r="F24" s="204" t="s">
        <v>1679</v>
      </c>
      <c r="G24" s="205" t="s">
        <v>1680</v>
      </c>
      <c r="H24" s="204" t="s">
        <v>1681</v>
      </c>
      <c r="I24" s="205" t="s">
        <v>1682</v>
      </c>
      <c r="J24" s="204" t="s">
        <v>1683</v>
      </c>
      <c r="K24" s="205" t="s">
        <v>1684</v>
      </c>
      <c r="L24" s="204" t="s">
        <v>1685</v>
      </c>
      <c r="M24" s="205" t="s">
        <v>1686</v>
      </c>
      <c r="N24" s="206" t="s">
        <v>1687</v>
      </c>
    </row>
    <row r="25" ht="15.75" customHeight="1">
      <c r="A25" s="207"/>
      <c r="B25" s="207"/>
      <c r="C25" s="207"/>
      <c r="D25" s="207"/>
      <c r="E25" s="207"/>
      <c r="F25" s="165"/>
      <c r="G25" s="207"/>
      <c r="H25" s="165"/>
      <c r="I25" s="207"/>
      <c r="J25" s="165"/>
      <c r="K25" s="207"/>
      <c r="L25" s="165"/>
      <c r="M25" s="207"/>
      <c r="N25" s="166"/>
    </row>
    <row r="26" ht="15.75" customHeight="1">
      <c r="A26" s="208">
        <v>1.0</v>
      </c>
      <c r="B26" s="209">
        <v>1.0</v>
      </c>
      <c r="C26" s="210" t="s">
        <v>1688</v>
      </c>
      <c r="D26" s="209" t="s">
        <v>1689</v>
      </c>
      <c r="E26" s="211">
        <v>1.2867263E7</v>
      </c>
      <c r="F26" s="212">
        <v>4.0</v>
      </c>
      <c r="G26" s="208">
        <v>4.0</v>
      </c>
      <c r="H26" s="212">
        <v>2.0</v>
      </c>
      <c r="I26" s="208">
        <v>3.0</v>
      </c>
      <c r="J26" s="212">
        <v>3.0</v>
      </c>
      <c r="K26" s="208">
        <v>5.0</v>
      </c>
      <c r="L26" s="212">
        <v>5.0</v>
      </c>
      <c r="M26" s="208">
        <v>1.0</v>
      </c>
      <c r="N26" s="213">
        <v>1.0</v>
      </c>
    </row>
    <row r="27" ht="15.75" customHeight="1">
      <c r="A27" s="208">
        <v>2.0</v>
      </c>
      <c r="B27" s="214">
        <v>2.0</v>
      </c>
      <c r="C27" s="215" t="s">
        <v>1690</v>
      </c>
      <c r="D27" s="214" t="s">
        <v>1691</v>
      </c>
      <c r="E27" s="216">
        <v>1.1718522E7</v>
      </c>
      <c r="F27" s="217">
        <v>4.0</v>
      </c>
      <c r="G27" s="218">
        <v>4.0</v>
      </c>
      <c r="H27" s="217">
        <v>2.0</v>
      </c>
      <c r="I27" s="218">
        <v>3.0</v>
      </c>
      <c r="J27" s="217">
        <v>3.0</v>
      </c>
      <c r="K27" s="218">
        <v>5.0</v>
      </c>
      <c r="L27" s="217">
        <v>5.0</v>
      </c>
      <c r="M27" s="218">
        <v>1.0</v>
      </c>
      <c r="N27" s="219">
        <v>1.0</v>
      </c>
    </row>
    <row r="28" ht="15.75" customHeight="1">
      <c r="A28" s="208">
        <v>3.0</v>
      </c>
      <c r="B28" s="214">
        <v>3.0</v>
      </c>
      <c r="C28" s="215" t="s">
        <v>1692</v>
      </c>
      <c r="D28" s="214" t="s">
        <v>1693</v>
      </c>
      <c r="E28" s="216">
        <v>1.7618789E7</v>
      </c>
      <c r="F28" s="217">
        <v>4.0</v>
      </c>
      <c r="G28" s="218">
        <v>4.0</v>
      </c>
      <c r="H28" s="217">
        <v>2.0</v>
      </c>
      <c r="I28" s="218">
        <v>3.0</v>
      </c>
      <c r="J28" s="217">
        <v>3.0</v>
      </c>
      <c r="K28" s="218">
        <v>5.0</v>
      </c>
      <c r="L28" s="217">
        <v>5.0</v>
      </c>
      <c r="M28" s="218">
        <v>1.0</v>
      </c>
      <c r="N28" s="219">
        <v>1.0</v>
      </c>
    </row>
    <row r="29" ht="15.75" customHeight="1">
      <c r="A29" s="208">
        <v>4.0</v>
      </c>
      <c r="B29" s="214">
        <v>4.0</v>
      </c>
      <c r="C29" s="215" t="s">
        <v>1694</v>
      </c>
      <c r="D29" s="214" t="s">
        <v>1695</v>
      </c>
      <c r="E29" s="216">
        <v>1.0455602E7</v>
      </c>
      <c r="F29" s="217">
        <v>4.0</v>
      </c>
      <c r="G29" s="218">
        <v>4.0</v>
      </c>
      <c r="H29" s="217">
        <v>2.0</v>
      </c>
      <c r="I29" s="218">
        <v>3.0</v>
      </c>
      <c r="J29" s="217">
        <v>3.0</v>
      </c>
      <c r="K29" s="218">
        <v>5.0</v>
      </c>
      <c r="L29" s="217">
        <v>5.0</v>
      </c>
      <c r="M29" s="218">
        <v>1.0</v>
      </c>
      <c r="N29" s="219">
        <v>1.0</v>
      </c>
    </row>
    <row r="30" ht="15.75" customHeight="1">
      <c r="A30" s="208">
        <v>5.0</v>
      </c>
      <c r="B30" s="220">
        <v>5.0</v>
      </c>
      <c r="C30" s="221" t="s">
        <v>1696</v>
      </c>
      <c r="D30" s="220" t="s">
        <v>1697</v>
      </c>
      <c r="E30" s="222">
        <v>2.7992491E7</v>
      </c>
      <c r="F30" s="197">
        <v>4.0</v>
      </c>
      <c r="G30" s="223">
        <v>4.0</v>
      </c>
      <c r="H30" s="224">
        <v>2.0</v>
      </c>
      <c r="I30" s="225">
        <v>3.0</v>
      </c>
      <c r="J30" s="224">
        <v>3.0</v>
      </c>
      <c r="K30" s="225">
        <v>5.0</v>
      </c>
      <c r="L30" s="224">
        <v>5.0</v>
      </c>
      <c r="M30" s="225">
        <v>1.0</v>
      </c>
      <c r="N30" s="226">
        <v>1.0</v>
      </c>
    </row>
    <row r="31" ht="15.75" customHeight="1">
      <c r="A31" s="208">
        <v>6.0</v>
      </c>
      <c r="B31" s="227">
        <v>6.0</v>
      </c>
      <c r="C31" s="228" t="s">
        <v>1698</v>
      </c>
      <c r="D31" s="227" t="s">
        <v>1699</v>
      </c>
      <c r="E31" s="229">
        <v>2.2320099E7</v>
      </c>
      <c r="F31" s="230">
        <v>4.0</v>
      </c>
      <c r="G31" s="231">
        <v>4.0</v>
      </c>
      <c r="H31" s="230">
        <v>2.0</v>
      </c>
      <c r="I31" s="231">
        <v>3.0</v>
      </c>
      <c r="J31" s="230">
        <v>3.0</v>
      </c>
      <c r="K31" s="231">
        <v>5.0</v>
      </c>
      <c r="L31" s="230">
        <v>5.0</v>
      </c>
      <c r="M31" s="231">
        <v>1.0</v>
      </c>
      <c r="N31" s="230">
        <v>1.0</v>
      </c>
    </row>
    <row r="32" ht="15.75" customHeight="1">
      <c r="A32" s="208">
        <v>7.0</v>
      </c>
      <c r="B32" s="214">
        <v>8.0</v>
      </c>
      <c r="C32" s="215" t="s">
        <v>1700</v>
      </c>
      <c r="D32" s="214" t="s">
        <v>1701</v>
      </c>
      <c r="E32" s="232">
        <v>2.2641572E7</v>
      </c>
      <c r="F32" s="218">
        <v>4.0</v>
      </c>
      <c r="G32" s="217">
        <v>4.0</v>
      </c>
      <c r="H32" s="218">
        <v>2.0</v>
      </c>
      <c r="I32" s="217">
        <v>3.0</v>
      </c>
      <c r="J32" s="218">
        <v>3.0</v>
      </c>
      <c r="K32" s="217">
        <v>5.0</v>
      </c>
      <c r="L32" s="218">
        <v>5.0</v>
      </c>
      <c r="M32" s="217">
        <v>1.0</v>
      </c>
      <c r="N32" s="218">
        <v>1.0</v>
      </c>
    </row>
    <row r="33" ht="15.75" customHeight="1">
      <c r="A33" s="208">
        <v>8.0</v>
      </c>
      <c r="B33" s="214">
        <v>9.0</v>
      </c>
      <c r="C33" s="215" t="s">
        <v>1702</v>
      </c>
      <c r="D33" s="214" t="s">
        <v>1703</v>
      </c>
      <c r="E33" s="232">
        <v>1.0291176E7</v>
      </c>
      <c r="F33" s="218">
        <v>4.0</v>
      </c>
      <c r="G33" s="217">
        <v>4.0</v>
      </c>
      <c r="H33" s="218">
        <v>2.0</v>
      </c>
      <c r="I33" s="217">
        <v>3.0</v>
      </c>
      <c r="J33" s="218">
        <v>3.0</v>
      </c>
      <c r="K33" s="217">
        <v>5.0</v>
      </c>
      <c r="L33" s="218">
        <v>5.0</v>
      </c>
      <c r="M33" s="217">
        <v>1.0</v>
      </c>
      <c r="N33" s="218">
        <v>1.0</v>
      </c>
    </row>
    <row r="34" ht="15.75" customHeight="1">
      <c r="A34" s="208">
        <v>9.0</v>
      </c>
      <c r="B34" s="214">
        <v>10.0</v>
      </c>
      <c r="C34" s="233" t="s">
        <v>1704</v>
      </c>
      <c r="D34" s="214" t="s">
        <v>1705</v>
      </c>
      <c r="E34" s="216">
        <v>2.972129E7</v>
      </c>
      <c r="F34" s="218">
        <v>4.0</v>
      </c>
      <c r="G34" s="217">
        <v>4.0</v>
      </c>
      <c r="H34" s="218">
        <v>2.0</v>
      </c>
      <c r="I34" s="217">
        <v>3.0</v>
      </c>
      <c r="J34" s="218">
        <v>3.0</v>
      </c>
      <c r="K34" s="217">
        <v>5.0</v>
      </c>
      <c r="L34" s="218">
        <v>5.0</v>
      </c>
      <c r="M34" s="217">
        <v>1.0</v>
      </c>
      <c r="N34" s="218">
        <v>1.0</v>
      </c>
    </row>
    <row r="35" ht="15.75" customHeight="1">
      <c r="A35" s="208">
        <v>10.0</v>
      </c>
      <c r="B35" s="220" t="s">
        <v>1011</v>
      </c>
      <c r="C35" s="221" t="s">
        <v>1706</v>
      </c>
      <c r="D35" s="220" t="s">
        <v>1707</v>
      </c>
      <c r="E35" s="234">
        <v>1.83492E7</v>
      </c>
      <c r="F35" s="235">
        <v>4.0</v>
      </c>
      <c r="G35" s="236">
        <v>4.0</v>
      </c>
      <c r="H35" s="235">
        <v>2.0</v>
      </c>
      <c r="I35" s="236">
        <v>3.0</v>
      </c>
      <c r="J35" s="235">
        <v>3.0</v>
      </c>
      <c r="K35" s="236">
        <v>5.0</v>
      </c>
      <c r="L35" s="235">
        <v>5.0</v>
      </c>
      <c r="M35" s="236">
        <v>1.0</v>
      </c>
      <c r="N35" s="235">
        <v>1.0</v>
      </c>
    </row>
    <row r="36" ht="15.75" customHeight="1">
      <c r="A36" s="208">
        <v>11.0</v>
      </c>
      <c r="B36" s="237">
        <v>11.0</v>
      </c>
      <c r="C36" s="238" t="s">
        <v>1708</v>
      </c>
      <c r="D36" s="237" t="s">
        <v>1709</v>
      </c>
      <c r="E36" s="239">
        <v>2.2641204E7</v>
      </c>
      <c r="F36" s="212">
        <v>4.0</v>
      </c>
      <c r="G36" s="208">
        <v>4.0</v>
      </c>
      <c r="H36" s="212">
        <v>2.0</v>
      </c>
      <c r="I36" s="208">
        <v>3.0</v>
      </c>
      <c r="J36" s="212">
        <v>3.0</v>
      </c>
      <c r="K36" s="208">
        <v>5.0</v>
      </c>
      <c r="L36" s="212">
        <v>5.0</v>
      </c>
      <c r="M36" s="208">
        <v>1.0</v>
      </c>
      <c r="N36" s="213">
        <v>1.0</v>
      </c>
    </row>
    <row r="37" ht="15.75" customHeight="1">
      <c r="A37" s="208">
        <v>12.0</v>
      </c>
      <c r="B37" s="214">
        <v>13.0</v>
      </c>
      <c r="C37" s="215" t="s">
        <v>1710</v>
      </c>
      <c r="D37" s="214" t="s">
        <v>1711</v>
      </c>
      <c r="E37" s="216">
        <v>1.8566679E7</v>
      </c>
      <c r="F37" s="217">
        <v>4.0</v>
      </c>
      <c r="G37" s="218">
        <v>4.0</v>
      </c>
      <c r="H37" s="217">
        <v>2.0</v>
      </c>
      <c r="I37" s="218">
        <v>3.0</v>
      </c>
      <c r="J37" s="217">
        <v>3.0</v>
      </c>
      <c r="K37" s="218">
        <v>5.0</v>
      </c>
      <c r="L37" s="217">
        <v>5.0</v>
      </c>
      <c r="M37" s="218">
        <v>1.0</v>
      </c>
      <c r="N37" s="219">
        <v>1.0</v>
      </c>
    </row>
    <row r="38" ht="15.75" customHeight="1">
      <c r="A38" s="208">
        <v>13.0</v>
      </c>
      <c r="B38" s="214">
        <v>14.0</v>
      </c>
      <c r="C38" s="233" t="s">
        <v>1712</v>
      </c>
      <c r="D38" s="214" t="s">
        <v>1713</v>
      </c>
      <c r="E38" s="216">
        <v>3.5450532E7</v>
      </c>
      <c r="F38" s="217">
        <v>4.0</v>
      </c>
      <c r="G38" s="218">
        <v>4.0</v>
      </c>
      <c r="H38" s="217">
        <v>2.0</v>
      </c>
      <c r="I38" s="218">
        <v>3.0</v>
      </c>
      <c r="J38" s="217">
        <v>3.0</v>
      </c>
      <c r="K38" s="218">
        <v>5.0</v>
      </c>
      <c r="L38" s="217">
        <v>5.0</v>
      </c>
      <c r="M38" s="218">
        <v>1.0</v>
      </c>
      <c r="N38" s="219">
        <v>1.0</v>
      </c>
    </row>
    <row r="39" ht="15.75" customHeight="1">
      <c r="A39" s="208">
        <v>14.0</v>
      </c>
      <c r="B39" s="214">
        <v>15.0</v>
      </c>
      <c r="C39" s="233" t="s">
        <v>1714</v>
      </c>
      <c r="D39" s="214" t="s">
        <v>1715</v>
      </c>
      <c r="E39" s="216">
        <v>1.4179028E7</v>
      </c>
      <c r="F39" s="217">
        <v>4.0</v>
      </c>
      <c r="G39" s="218">
        <v>4.0</v>
      </c>
      <c r="H39" s="217">
        <v>2.0</v>
      </c>
      <c r="I39" s="218">
        <v>3.0</v>
      </c>
      <c r="J39" s="217">
        <v>3.0</v>
      </c>
      <c r="K39" s="218">
        <v>5.0</v>
      </c>
      <c r="L39" s="217">
        <v>5.0</v>
      </c>
      <c r="M39" s="218">
        <v>1.0</v>
      </c>
      <c r="N39" s="219">
        <v>1.0</v>
      </c>
    </row>
    <row r="40" ht="15.75" customHeight="1">
      <c r="A40" s="208">
        <v>15.0</v>
      </c>
      <c r="B40" s="220">
        <v>16.0</v>
      </c>
      <c r="C40" s="221" t="s">
        <v>1716</v>
      </c>
      <c r="D40" s="220" t="s">
        <v>1717</v>
      </c>
      <c r="E40" s="222">
        <v>1.8295711E7</v>
      </c>
      <c r="F40" s="212">
        <v>4.0</v>
      </c>
      <c r="G40" s="208">
        <v>4.0</v>
      </c>
      <c r="H40" s="236">
        <v>2.0</v>
      </c>
      <c r="I40" s="235">
        <v>3.0</v>
      </c>
      <c r="J40" s="236">
        <v>3.0</v>
      </c>
      <c r="K40" s="235">
        <v>5.0</v>
      </c>
      <c r="L40" s="236">
        <v>5.0</v>
      </c>
      <c r="M40" s="235">
        <v>1.0</v>
      </c>
      <c r="N40" s="240">
        <v>1.0</v>
      </c>
    </row>
    <row r="41" ht="15.75" customHeight="1">
      <c r="A41" s="208">
        <v>16.0</v>
      </c>
      <c r="B41" s="237">
        <v>17.0</v>
      </c>
      <c r="C41" s="241" t="s">
        <v>1718</v>
      </c>
      <c r="D41" s="237" t="s">
        <v>1719</v>
      </c>
      <c r="E41" s="239">
        <v>3.2183192E7</v>
      </c>
      <c r="F41" s="242">
        <v>4.0</v>
      </c>
      <c r="G41" s="243">
        <v>4.0</v>
      </c>
      <c r="H41" s="231">
        <v>2.0</v>
      </c>
      <c r="I41" s="230">
        <v>3.0</v>
      </c>
      <c r="J41" s="231">
        <v>3.0</v>
      </c>
      <c r="K41" s="230">
        <v>5.0</v>
      </c>
      <c r="L41" s="231">
        <v>5.0</v>
      </c>
      <c r="M41" s="230">
        <v>1.0</v>
      </c>
      <c r="N41" s="244">
        <v>1.0</v>
      </c>
    </row>
    <row r="42" ht="15.75" customHeight="1">
      <c r="A42" s="208">
        <v>17.0</v>
      </c>
      <c r="B42" s="214">
        <v>18.0</v>
      </c>
      <c r="C42" s="215" t="s">
        <v>1720</v>
      </c>
      <c r="D42" s="214" t="s">
        <v>1721</v>
      </c>
      <c r="E42" s="216">
        <v>1.6357084E7</v>
      </c>
      <c r="F42" s="217">
        <v>4.0</v>
      </c>
      <c r="G42" s="218">
        <v>4.0</v>
      </c>
      <c r="H42" s="217">
        <v>2.0</v>
      </c>
      <c r="I42" s="218">
        <v>3.0</v>
      </c>
      <c r="J42" s="217">
        <v>3.0</v>
      </c>
      <c r="K42" s="218">
        <v>5.0</v>
      </c>
      <c r="L42" s="217">
        <v>5.0</v>
      </c>
      <c r="M42" s="218">
        <v>1.0</v>
      </c>
      <c r="N42" s="219">
        <v>1.0</v>
      </c>
    </row>
    <row r="43" ht="15.75" customHeight="1">
      <c r="A43" s="208">
        <v>18.0</v>
      </c>
      <c r="B43" s="214">
        <v>19.0</v>
      </c>
      <c r="C43" s="233" t="s">
        <v>1722</v>
      </c>
      <c r="D43" s="214" t="s">
        <v>1723</v>
      </c>
      <c r="E43" s="216">
        <v>1.657617E7</v>
      </c>
      <c r="F43" s="217">
        <v>4.0</v>
      </c>
      <c r="G43" s="218">
        <v>4.0</v>
      </c>
      <c r="H43" s="217">
        <v>2.0</v>
      </c>
      <c r="I43" s="218">
        <v>3.0</v>
      </c>
      <c r="J43" s="217">
        <v>3.0</v>
      </c>
      <c r="K43" s="218">
        <v>5.0</v>
      </c>
      <c r="L43" s="217">
        <v>5.0</v>
      </c>
      <c r="M43" s="218">
        <v>1.0</v>
      </c>
      <c r="N43" s="219">
        <v>1.0</v>
      </c>
    </row>
    <row r="44" ht="15.75" customHeight="1">
      <c r="A44" s="208">
        <v>19.0</v>
      </c>
      <c r="B44" s="214">
        <v>20.0</v>
      </c>
      <c r="C44" s="233" t="s">
        <v>1724</v>
      </c>
      <c r="D44" s="214" t="s">
        <v>1725</v>
      </c>
      <c r="E44" s="216">
        <v>1.7432588E7</v>
      </c>
      <c r="F44" s="217">
        <v>4.0</v>
      </c>
      <c r="G44" s="218">
        <v>4.0</v>
      </c>
      <c r="H44" s="217">
        <v>2.0</v>
      </c>
      <c r="I44" s="218">
        <v>3.0</v>
      </c>
      <c r="J44" s="217">
        <v>3.0</v>
      </c>
      <c r="K44" s="218">
        <v>5.0</v>
      </c>
      <c r="L44" s="217">
        <v>5.0</v>
      </c>
      <c r="M44" s="218">
        <v>1.0</v>
      </c>
      <c r="N44" s="219">
        <v>1.0</v>
      </c>
    </row>
    <row r="45" ht="15.75" customHeight="1">
      <c r="A45" s="208">
        <v>20.0</v>
      </c>
      <c r="B45" s="220">
        <v>22.0</v>
      </c>
      <c r="C45" s="245" t="s">
        <v>1726</v>
      </c>
      <c r="D45" s="220" t="s">
        <v>1727</v>
      </c>
      <c r="E45" s="222">
        <v>1.363632E7</v>
      </c>
      <c r="F45" s="212">
        <v>4.0</v>
      </c>
      <c r="G45" s="208">
        <v>4.0</v>
      </c>
      <c r="H45" s="236">
        <v>2.0</v>
      </c>
      <c r="I45" s="235">
        <v>3.0</v>
      </c>
      <c r="J45" s="236">
        <v>3.0</v>
      </c>
      <c r="K45" s="235">
        <v>5.0</v>
      </c>
      <c r="L45" s="236">
        <v>5.0</v>
      </c>
      <c r="M45" s="235">
        <v>1.0</v>
      </c>
      <c r="N45" s="240">
        <v>1.0</v>
      </c>
    </row>
    <row r="46" ht="15.75" customHeight="1">
      <c r="A46" s="208">
        <v>21.0</v>
      </c>
      <c r="B46" s="237">
        <v>23.0</v>
      </c>
      <c r="C46" s="238" t="s">
        <v>1728</v>
      </c>
      <c r="D46" s="53" t="s">
        <v>685</v>
      </c>
      <c r="E46" s="50">
        <v>1.6391035E7</v>
      </c>
      <c r="F46" s="242">
        <v>4.0</v>
      </c>
      <c r="G46" s="243">
        <v>4.0</v>
      </c>
      <c r="H46" s="231">
        <v>2.0</v>
      </c>
      <c r="I46" s="230">
        <v>3.0</v>
      </c>
      <c r="J46" s="231">
        <v>3.0</v>
      </c>
      <c r="K46" s="230">
        <v>5.0</v>
      </c>
      <c r="L46" s="231">
        <v>5.0</v>
      </c>
      <c r="M46" s="230">
        <v>1.0</v>
      </c>
      <c r="N46" s="244">
        <v>1.0</v>
      </c>
    </row>
    <row r="47" ht="15.75" customHeight="1">
      <c r="A47" s="208">
        <v>22.0</v>
      </c>
      <c r="B47" s="214">
        <v>24.0</v>
      </c>
      <c r="C47" s="233" t="s">
        <v>1729</v>
      </c>
      <c r="D47" s="214" t="s">
        <v>1730</v>
      </c>
      <c r="E47" s="216">
        <v>2.6847345E7</v>
      </c>
      <c r="F47" s="217">
        <v>4.0</v>
      </c>
      <c r="G47" s="218">
        <v>4.0</v>
      </c>
      <c r="H47" s="217">
        <v>2.0</v>
      </c>
      <c r="I47" s="218">
        <v>3.0</v>
      </c>
      <c r="J47" s="217">
        <v>3.0</v>
      </c>
      <c r="K47" s="218">
        <v>5.0</v>
      </c>
      <c r="L47" s="217">
        <v>5.0</v>
      </c>
      <c r="M47" s="218">
        <v>1.0</v>
      </c>
      <c r="N47" s="219">
        <v>1.0</v>
      </c>
    </row>
    <row r="48" ht="15.75" customHeight="1">
      <c r="A48" s="208">
        <v>23.0</v>
      </c>
      <c r="B48" s="214">
        <v>25.0</v>
      </c>
      <c r="C48" s="215" t="s">
        <v>1731</v>
      </c>
      <c r="D48" s="214" t="s">
        <v>1732</v>
      </c>
      <c r="E48" s="216">
        <v>5482686.0</v>
      </c>
      <c r="F48" s="217">
        <v>4.0</v>
      </c>
      <c r="G48" s="218">
        <v>4.0</v>
      </c>
      <c r="H48" s="217">
        <v>2.0</v>
      </c>
      <c r="I48" s="218">
        <v>3.0</v>
      </c>
      <c r="J48" s="217">
        <v>3.0</v>
      </c>
      <c r="K48" s="218">
        <v>5.0</v>
      </c>
      <c r="L48" s="217">
        <v>5.0</v>
      </c>
      <c r="M48" s="218">
        <v>1.0</v>
      </c>
      <c r="N48" s="219">
        <v>1.0</v>
      </c>
    </row>
    <row r="49" ht="15.75" customHeight="1">
      <c r="A49" s="208">
        <v>24.0</v>
      </c>
      <c r="B49" s="214">
        <v>26.0</v>
      </c>
      <c r="C49" s="233" t="s">
        <v>1733</v>
      </c>
      <c r="D49" s="214" t="s">
        <v>1734</v>
      </c>
      <c r="E49" s="216">
        <v>2.3077581E7</v>
      </c>
      <c r="F49" s="217">
        <v>4.0</v>
      </c>
      <c r="G49" s="218">
        <v>4.0</v>
      </c>
      <c r="H49" s="217">
        <v>2.0</v>
      </c>
      <c r="I49" s="218">
        <v>3.0</v>
      </c>
      <c r="J49" s="217">
        <v>3.0</v>
      </c>
      <c r="K49" s="218">
        <v>5.0</v>
      </c>
      <c r="L49" s="217">
        <v>5.0</v>
      </c>
      <c r="M49" s="218">
        <v>1.0</v>
      </c>
      <c r="N49" s="219">
        <v>1.0</v>
      </c>
    </row>
    <row r="50" ht="15.75" customHeight="1">
      <c r="A50" s="208">
        <v>25.0</v>
      </c>
      <c r="B50" s="220">
        <v>27.0</v>
      </c>
      <c r="C50" s="245" t="s">
        <v>1735</v>
      </c>
      <c r="D50" s="220" t="s">
        <v>1736</v>
      </c>
      <c r="E50" s="222">
        <v>1.4996174E7</v>
      </c>
      <c r="F50" s="212">
        <v>4.0</v>
      </c>
      <c r="G50" s="208">
        <v>4.0</v>
      </c>
      <c r="H50" s="236">
        <v>2.0</v>
      </c>
      <c r="I50" s="235">
        <v>3.0</v>
      </c>
      <c r="J50" s="236">
        <v>3.0</v>
      </c>
      <c r="K50" s="235">
        <v>5.0</v>
      </c>
      <c r="L50" s="236">
        <v>5.0</v>
      </c>
      <c r="M50" s="235">
        <v>1.0</v>
      </c>
      <c r="N50" s="240">
        <v>1.0</v>
      </c>
    </row>
    <row r="51" ht="15.75" customHeight="1">
      <c r="A51" s="208">
        <v>26.0</v>
      </c>
      <c r="B51" s="209">
        <v>28.0</v>
      </c>
      <c r="C51" s="246" t="s">
        <v>1737</v>
      </c>
      <c r="D51" s="209" t="s">
        <v>1738</v>
      </c>
      <c r="E51" s="211">
        <v>1.3905776E7</v>
      </c>
      <c r="F51" s="242">
        <v>4.0</v>
      </c>
      <c r="G51" s="243">
        <v>4.0</v>
      </c>
      <c r="H51" s="212">
        <v>2.0</v>
      </c>
      <c r="I51" s="208">
        <v>3.0</v>
      </c>
      <c r="J51" s="212">
        <v>3.0</v>
      </c>
      <c r="K51" s="208">
        <v>5.0</v>
      </c>
      <c r="L51" s="212">
        <v>5.0</v>
      </c>
      <c r="M51" s="208">
        <v>1.0</v>
      </c>
      <c r="N51" s="213">
        <v>1.0</v>
      </c>
    </row>
    <row r="52" ht="15.75" customHeight="1">
      <c r="A52" s="208">
        <v>27.0</v>
      </c>
      <c r="B52" s="214">
        <v>29.0</v>
      </c>
      <c r="C52" s="233" t="s">
        <v>1739</v>
      </c>
      <c r="D52" s="214" t="s">
        <v>1740</v>
      </c>
      <c r="E52" s="216">
        <v>1.864232E7</v>
      </c>
      <c r="F52" s="217">
        <v>4.0</v>
      </c>
      <c r="G52" s="218">
        <v>4.0</v>
      </c>
      <c r="H52" s="217">
        <v>2.0</v>
      </c>
      <c r="I52" s="218">
        <v>3.0</v>
      </c>
      <c r="J52" s="217">
        <v>3.0</v>
      </c>
      <c r="K52" s="218">
        <v>5.0</v>
      </c>
      <c r="L52" s="217">
        <v>5.0</v>
      </c>
      <c r="M52" s="218">
        <v>1.0</v>
      </c>
      <c r="N52" s="219">
        <v>1.0</v>
      </c>
    </row>
    <row r="53" ht="15.75" customHeight="1">
      <c r="A53" s="208">
        <v>28.0</v>
      </c>
      <c r="B53" s="214">
        <v>30.0</v>
      </c>
      <c r="C53" s="233" t="s">
        <v>1741</v>
      </c>
      <c r="D53" s="214" t="s">
        <v>1742</v>
      </c>
      <c r="E53" s="216">
        <v>1.3904494E7</v>
      </c>
      <c r="F53" s="212">
        <v>4.0</v>
      </c>
      <c r="G53" s="208">
        <v>4.0</v>
      </c>
      <c r="H53" s="217">
        <v>2.0</v>
      </c>
      <c r="I53" s="218">
        <v>3.0</v>
      </c>
      <c r="J53" s="217">
        <v>3.0</v>
      </c>
      <c r="K53" s="218">
        <v>5.0</v>
      </c>
      <c r="L53" s="217">
        <v>5.0</v>
      </c>
      <c r="M53" s="218">
        <v>1.0</v>
      </c>
      <c r="N53" s="219">
        <v>1.0</v>
      </c>
    </row>
    <row r="54" ht="15.75" customHeight="1">
      <c r="A54" s="218">
        <v>29.0</v>
      </c>
      <c r="B54" s="214">
        <v>31.0</v>
      </c>
      <c r="C54" s="215" t="s">
        <v>1743</v>
      </c>
      <c r="D54" s="214" t="s">
        <v>1744</v>
      </c>
      <c r="E54" s="216">
        <v>5477695.0</v>
      </c>
      <c r="F54" s="217">
        <v>4.0</v>
      </c>
      <c r="G54" s="218">
        <v>4.0</v>
      </c>
      <c r="H54" s="217">
        <v>2.0</v>
      </c>
      <c r="I54" s="218">
        <v>3.0</v>
      </c>
      <c r="J54" s="217">
        <v>3.0</v>
      </c>
      <c r="K54" s="218">
        <v>5.0</v>
      </c>
      <c r="L54" s="217">
        <v>5.0</v>
      </c>
      <c r="M54" s="218">
        <v>1.0</v>
      </c>
      <c r="N54" s="219">
        <v>1.0</v>
      </c>
    </row>
    <row r="55" ht="15.75" customHeight="1">
      <c r="A55" s="218">
        <v>30.0</v>
      </c>
      <c r="B55" s="214">
        <v>33.0</v>
      </c>
      <c r="C55" s="233" t="s">
        <v>1745</v>
      </c>
      <c r="D55" s="214" t="s">
        <v>1746</v>
      </c>
      <c r="E55" s="216">
        <v>1.4237157E7</v>
      </c>
      <c r="F55" s="217">
        <v>4.0</v>
      </c>
      <c r="G55" s="218">
        <v>4.0</v>
      </c>
      <c r="H55" s="217">
        <v>2.0</v>
      </c>
      <c r="I55" s="218">
        <v>3.0</v>
      </c>
      <c r="J55" s="217">
        <v>3.0</v>
      </c>
      <c r="K55" s="218">
        <v>5.0</v>
      </c>
      <c r="L55" s="217">
        <v>5.0</v>
      </c>
      <c r="M55" s="218">
        <v>1.0</v>
      </c>
      <c r="N55" s="219">
        <v>1.0</v>
      </c>
    </row>
    <row r="56" ht="15.75" customHeight="1">
      <c r="A56" s="218">
        <v>31.0</v>
      </c>
      <c r="B56" s="209">
        <v>34.0</v>
      </c>
      <c r="C56" s="246" t="s">
        <v>1747</v>
      </c>
      <c r="D56" s="209" t="s">
        <v>1748</v>
      </c>
      <c r="E56" s="211">
        <v>1.3636507E7</v>
      </c>
      <c r="F56" s="212">
        <v>4.0</v>
      </c>
      <c r="G56" s="208">
        <v>4.0</v>
      </c>
      <c r="H56" s="212">
        <v>2.0</v>
      </c>
      <c r="I56" s="208">
        <v>3.0</v>
      </c>
      <c r="J56" s="212">
        <v>3.0</v>
      </c>
      <c r="K56" s="208">
        <v>5.0</v>
      </c>
      <c r="L56" s="212">
        <v>5.0</v>
      </c>
      <c r="M56" s="208">
        <v>1.0</v>
      </c>
      <c r="N56" s="213">
        <v>1.0</v>
      </c>
    </row>
    <row r="57" ht="15.75" customHeight="1">
      <c r="A57" s="218">
        <v>32.0</v>
      </c>
      <c r="B57" s="214">
        <v>35.0</v>
      </c>
      <c r="C57" s="233" t="s">
        <v>1749</v>
      </c>
      <c r="D57" s="214" t="s">
        <v>1750</v>
      </c>
      <c r="E57" s="216">
        <v>1.7056725E7</v>
      </c>
      <c r="F57" s="217">
        <v>4.0</v>
      </c>
      <c r="G57" s="218">
        <v>4.0</v>
      </c>
      <c r="H57" s="217">
        <v>2.0</v>
      </c>
      <c r="I57" s="218">
        <v>3.0</v>
      </c>
      <c r="J57" s="217">
        <v>3.0</v>
      </c>
      <c r="K57" s="218">
        <v>5.0</v>
      </c>
      <c r="L57" s="217">
        <v>5.0</v>
      </c>
      <c r="M57" s="218">
        <v>1.0</v>
      </c>
      <c r="N57" s="219">
        <v>1.0</v>
      </c>
    </row>
    <row r="58" ht="15.75" customHeight="1">
      <c r="A58" s="218">
        <v>33.0</v>
      </c>
      <c r="B58" s="214">
        <v>37.0</v>
      </c>
      <c r="C58" s="233" t="s">
        <v>1751</v>
      </c>
      <c r="D58" s="214" t="s">
        <v>1752</v>
      </c>
      <c r="E58" s="216">
        <v>1.1426862E7</v>
      </c>
      <c r="F58" s="217">
        <v>4.0</v>
      </c>
      <c r="G58" s="218">
        <v>4.0</v>
      </c>
      <c r="H58" s="217">
        <v>2.0</v>
      </c>
      <c r="I58" s="218">
        <v>3.0</v>
      </c>
      <c r="J58" s="217">
        <v>3.0</v>
      </c>
      <c r="K58" s="218">
        <v>5.0</v>
      </c>
      <c r="L58" s="217">
        <v>5.0</v>
      </c>
      <c r="M58" s="218">
        <v>1.0</v>
      </c>
      <c r="N58" s="219">
        <v>1.0</v>
      </c>
    </row>
    <row r="59" ht="15.75" customHeight="1">
      <c r="A59" s="218">
        <v>34.0</v>
      </c>
      <c r="B59" s="214">
        <v>39.0</v>
      </c>
      <c r="C59" s="233" t="s">
        <v>1753</v>
      </c>
      <c r="D59" s="214" t="s">
        <v>1754</v>
      </c>
      <c r="E59" s="216">
        <v>2.2038784E7</v>
      </c>
      <c r="F59" s="217">
        <v>4.0</v>
      </c>
      <c r="G59" s="218">
        <v>4.0</v>
      </c>
      <c r="H59" s="217">
        <v>2.0</v>
      </c>
      <c r="I59" s="218">
        <v>3.0</v>
      </c>
      <c r="J59" s="217">
        <v>3.0</v>
      </c>
      <c r="K59" s="218">
        <v>5.0</v>
      </c>
      <c r="L59" s="217">
        <v>5.0</v>
      </c>
      <c r="M59" s="218">
        <v>1.0</v>
      </c>
      <c r="N59" s="219">
        <v>1.0</v>
      </c>
    </row>
    <row r="60" ht="15.75" customHeight="1">
      <c r="A60" s="218">
        <v>35.0</v>
      </c>
      <c r="B60" s="220">
        <v>40.0</v>
      </c>
      <c r="C60" s="245" t="s">
        <v>1755</v>
      </c>
      <c r="D60" s="220" t="s">
        <v>1756</v>
      </c>
      <c r="E60" s="222">
        <v>2.9641114E7</v>
      </c>
      <c r="F60" s="236">
        <v>4.0</v>
      </c>
      <c r="G60" s="235">
        <v>4.0</v>
      </c>
      <c r="H60" s="236">
        <v>2.0</v>
      </c>
      <c r="I60" s="235">
        <v>3.0</v>
      </c>
      <c r="J60" s="236">
        <v>3.0</v>
      </c>
      <c r="K60" s="235">
        <v>5.0</v>
      </c>
      <c r="L60" s="236">
        <v>5.0</v>
      </c>
      <c r="M60" s="235">
        <v>1.0</v>
      </c>
      <c r="N60" s="240">
        <v>1.0</v>
      </c>
    </row>
    <row r="61" ht="15.75" customHeight="1">
      <c r="A61" s="218">
        <v>36.0</v>
      </c>
      <c r="B61" s="237">
        <v>42.0</v>
      </c>
      <c r="C61" s="241" t="s">
        <v>1757</v>
      </c>
      <c r="D61" s="231" t="s">
        <v>1758</v>
      </c>
      <c r="E61" s="239">
        <v>1.4662787E7</v>
      </c>
      <c r="F61" s="212">
        <v>4.0</v>
      </c>
      <c r="G61" s="208">
        <v>4.0</v>
      </c>
      <c r="H61" s="231">
        <v>2.0</v>
      </c>
      <c r="I61" s="230">
        <v>3.0</v>
      </c>
      <c r="J61" s="231">
        <v>3.0</v>
      </c>
      <c r="K61" s="230">
        <v>5.0</v>
      </c>
      <c r="L61" s="231">
        <v>5.0</v>
      </c>
      <c r="M61" s="230">
        <v>1.0</v>
      </c>
      <c r="N61" s="244">
        <v>1.0</v>
      </c>
    </row>
    <row r="62" ht="15.75" customHeight="1">
      <c r="A62" s="218">
        <v>37.0</v>
      </c>
      <c r="B62" s="214">
        <v>43.0</v>
      </c>
      <c r="C62" s="215" t="s">
        <v>1759</v>
      </c>
      <c r="D62" s="214" t="s">
        <v>1760</v>
      </c>
      <c r="E62" s="216">
        <v>1.3517114E7</v>
      </c>
      <c r="F62" s="217">
        <v>4.0</v>
      </c>
      <c r="G62" s="218">
        <v>4.0</v>
      </c>
      <c r="H62" s="217">
        <v>2.0</v>
      </c>
      <c r="I62" s="218">
        <v>3.0</v>
      </c>
      <c r="J62" s="217">
        <v>3.0</v>
      </c>
      <c r="K62" s="218">
        <v>5.0</v>
      </c>
      <c r="L62" s="217">
        <v>5.0</v>
      </c>
      <c r="M62" s="218">
        <v>1.0</v>
      </c>
      <c r="N62" s="219">
        <v>1.0</v>
      </c>
    </row>
    <row r="63" ht="15.75" customHeight="1">
      <c r="A63" s="218">
        <v>38.0</v>
      </c>
      <c r="B63" s="214">
        <v>44.0</v>
      </c>
      <c r="C63" s="215" t="s">
        <v>1761</v>
      </c>
      <c r="D63" s="214" t="s">
        <v>1762</v>
      </c>
      <c r="E63" s="216">
        <v>1.4237858E7</v>
      </c>
      <c r="F63" s="217">
        <v>4.0</v>
      </c>
      <c r="G63" s="218">
        <v>4.0</v>
      </c>
      <c r="H63" s="217">
        <v>2.0</v>
      </c>
      <c r="I63" s="218">
        <v>3.0</v>
      </c>
      <c r="J63" s="217">
        <v>3.0</v>
      </c>
      <c r="K63" s="218">
        <v>5.0</v>
      </c>
      <c r="L63" s="217">
        <v>5.0</v>
      </c>
      <c r="M63" s="218">
        <v>1.0</v>
      </c>
      <c r="N63" s="219">
        <v>1.0</v>
      </c>
    </row>
    <row r="64" ht="15.75" customHeight="1">
      <c r="A64" s="218">
        <v>39.0</v>
      </c>
      <c r="B64" s="214" t="s">
        <v>1011</v>
      </c>
      <c r="C64" s="215" t="s">
        <v>1763</v>
      </c>
      <c r="D64" s="214" t="s">
        <v>1764</v>
      </c>
      <c r="E64" s="216">
        <v>1.1260626E7</v>
      </c>
      <c r="F64" s="217">
        <v>4.0</v>
      </c>
      <c r="G64" s="218">
        <v>4.0</v>
      </c>
      <c r="H64" s="217">
        <v>2.0</v>
      </c>
      <c r="I64" s="218">
        <v>3.0</v>
      </c>
      <c r="J64" s="217">
        <v>3.0</v>
      </c>
      <c r="K64" s="218">
        <v>5.0</v>
      </c>
      <c r="L64" s="217">
        <v>5.0</v>
      </c>
      <c r="M64" s="218">
        <v>1.0</v>
      </c>
      <c r="N64" s="219">
        <v>1.0</v>
      </c>
    </row>
    <row r="65" ht="15.75" customHeight="1">
      <c r="A65" s="218">
        <v>40.0</v>
      </c>
      <c r="B65" s="220">
        <v>46.0</v>
      </c>
      <c r="C65" s="245" t="s">
        <v>1765</v>
      </c>
      <c r="D65" s="220" t="s">
        <v>1766</v>
      </c>
      <c r="E65" s="222">
        <v>1.0568612E7</v>
      </c>
      <c r="F65" s="236">
        <v>4.0</v>
      </c>
      <c r="G65" s="235">
        <v>4.0</v>
      </c>
      <c r="H65" s="236">
        <v>2.0</v>
      </c>
      <c r="I65" s="235">
        <v>3.0</v>
      </c>
      <c r="J65" s="236">
        <v>3.0</v>
      </c>
      <c r="K65" s="235">
        <v>5.0</v>
      </c>
      <c r="L65" s="236">
        <v>5.0</v>
      </c>
      <c r="M65" s="235">
        <v>1.0</v>
      </c>
      <c r="N65" s="240">
        <v>1.0</v>
      </c>
    </row>
    <row r="66" ht="15.75" customHeight="1">
      <c r="A66" s="218">
        <v>41.0</v>
      </c>
      <c r="B66" s="237">
        <v>48.0</v>
      </c>
      <c r="C66" s="241" t="s">
        <v>1767</v>
      </c>
      <c r="D66" s="237" t="s">
        <v>1768</v>
      </c>
      <c r="E66" s="239">
        <v>5878087.0</v>
      </c>
      <c r="F66" s="212">
        <v>4.0</v>
      </c>
      <c r="G66" s="208">
        <v>4.0</v>
      </c>
      <c r="H66" s="231">
        <v>2.0</v>
      </c>
      <c r="I66" s="230">
        <v>3.0</v>
      </c>
      <c r="J66" s="231">
        <v>3.0</v>
      </c>
      <c r="K66" s="230">
        <v>5.0</v>
      </c>
      <c r="L66" s="231">
        <v>5.0</v>
      </c>
      <c r="M66" s="230">
        <v>1.0</v>
      </c>
      <c r="N66" s="244">
        <v>1.0</v>
      </c>
    </row>
    <row r="67" ht="15.75" customHeight="1">
      <c r="A67" s="218">
        <v>42.0</v>
      </c>
      <c r="B67" s="214">
        <v>49.0</v>
      </c>
      <c r="C67" s="233" t="s">
        <v>1769</v>
      </c>
      <c r="D67" s="214" t="s">
        <v>1770</v>
      </c>
      <c r="E67" s="216">
        <v>3.9862854E7</v>
      </c>
      <c r="F67" s="217">
        <v>4.0</v>
      </c>
      <c r="G67" s="218">
        <v>4.0</v>
      </c>
      <c r="H67" s="217">
        <v>2.0</v>
      </c>
      <c r="I67" s="218">
        <v>3.0</v>
      </c>
      <c r="J67" s="217">
        <v>3.0</v>
      </c>
      <c r="K67" s="218">
        <v>5.0</v>
      </c>
      <c r="L67" s="217">
        <v>5.0</v>
      </c>
      <c r="M67" s="218">
        <v>1.0</v>
      </c>
      <c r="N67" s="219">
        <v>1.0</v>
      </c>
    </row>
    <row r="68" ht="15.75" customHeight="1">
      <c r="A68" s="218">
        <v>43.0</v>
      </c>
      <c r="B68" s="214">
        <v>50.0</v>
      </c>
      <c r="C68" s="233" t="s">
        <v>1771</v>
      </c>
      <c r="D68" s="214" t="s">
        <v>1772</v>
      </c>
      <c r="E68" s="216">
        <v>2.4043502E7</v>
      </c>
      <c r="F68" s="217">
        <v>4.0</v>
      </c>
      <c r="G68" s="218">
        <v>4.0</v>
      </c>
      <c r="H68" s="217">
        <v>2.0</v>
      </c>
      <c r="I68" s="218">
        <v>3.0</v>
      </c>
      <c r="J68" s="217">
        <v>3.0</v>
      </c>
      <c r="K68" s="218">
        <v>5.0</v>
      </c>
      <c r="L68" s="217">
        <v>5.0</v>
      </c>
      <c r="M68" s="218">
        <v>1.0</v>
      </c>
      <c r="N68" s="219">
        <v>1.0</v>
      </c>
    </row>
    <row r="69" ht="15.75" customHeight="1">
      <c r="A69" s="218">
        <v>44.0</v>
      </c>
      <c r="B69" s="214">
        <v>51.0</v>
      </c>
      <c r="C69" s="215" t="s">
        <v>1773</v>
      </c>
      <c r="D69" s="214" t="s">
        <v>1774</v>
      </c>
      <c r="E69" s="216">
        <v>2.6176123E7</v>
      </c>
      <c r="F69" s="217">
        <v>4.0</v>
      </c>
      <c r="G69" s="218">
        <v>4.0</v>
      </c>
      <c r="H69" s="217">
        <v>2.0</v>
      </c>
      <c r="I69" s="218">
        <v>3.0</v>
      </c>
      <c r="J69" s="217">
        <v>3.0</v>
      </c>
      <c r="K69" s="218">
        <v>5.0</v>
      </c>
      <c r="L69" s="217">
        <v>5.0</v>
      </c>
      <c r="M69" s="218">
        <v>1.0</v>
      </c>
      <c r="N69" s="219">
        <v>1.0</v>
      </c>
    </row>
    <row r="70" ht="15.75" customHeight="1">
      <c r="A70" s="218">
        <v>45.0</v>
      </c>
      <c r="B70" s="220">
        <v>52.0</v>
      </c>
      <c r="C70" s="245" t="s">
        <v>1775</v>
      </c>
      <c r="D70" s="220" t="s">
        <v>1776</v>
      </c>
      <c r="E70" s="222">
        <v>2.3230552E7</v>
      </c>
      <c r="F70" s="236">
        <v>4.0</v>
      </c>
      <c r="G70" s="235">
        <v>4.0</v>
      </c>
      <c r="H70" s="236">
        <v>2.0</v>
      </c>
      <c r="I70" s="235">
        <v>3.0</v>
      </c>
      <c r="J70" s="236">
        <v>3.0</v>
      </c>
      <c r="K70" s="235">
        <v>5.0</v>
      </c>
      <c r="L70" s="236">
        <v>5.0</v>
      </c>
      <c r="M70" s="235">
        <v>1.0</v>
      </c>
      <c r="N70" s="240">
        <v>1.0</v>
      </c>
    </row>
    <row r="71" ht="15.75" customHeight="1">
      <c r="A71" s="218">
        <v>46.0</v>
      </c>
      <c r="B71" s="237">
        <v>53.0</v>
      </c>
      <c r="C71" s="238" t="s">
        <v>1777</v>
      </c>
      <c r="D71" s="237" t="s">
        <v>1778</v>
      </c>
      <c r="E71" s="239">
        <v>2.1307275E7</v>
      </c>
      <c r="F71" s="212">
        <v>4.0</v>
      </c>
      <c r="G71" s="208">
        <v>4.0</v>
      </c>
      <c r="H71" s="231">
        <v>2.0</v>
      </c>
      <c r="I71" s="230">
        <v>3.0</v>
      </c>
      <c r="J71" s="231">
        <v>3.0</v>
      </c>
      <c r="K71" s="230">
        <v>5.0</v>
      </c>
      <c r="L71" s="231">
        <v>5.0</v>
      </c>
      <c r="M71" s="230">
        <v>1.0</v>
      </c>
      <c r="N71" s="244">
        <v>1.0</v>
      </c>
    </row>
    <row r="72" ht="15.75" customHeight="1">
      <c r="A72" s="218">
        <v>47.0</v>
      </c>
      <c r="B72" s="214">
        <v>54.0</v>
      </c>
      <c r="C72" s="233" t="s">
        <v>1779</v>
      </c>
      <c r="D72" s="214" t="s">
        <v>1780</v>
      </c>
      <c r="E72" s="216">
        <v>1.8295837E7</v>
      </c>
      <c r="F72" s="217">
        <v>4.0</v>
      </c>
      <c r="G72" s="218">
        <v>4.0</v>
      </c>
      <c r="H72" s="217">
        <v>2.0</v>
      </c>
      <c r="I72" s="218">
        <v>3.0</v>
      </c>
      <c r="J72" s="217">
        <v>3.0</v>
      </c>
      <c r="K72" s="218">
        <v>5.0</v>
      </c>
      <c r="L72" s="217">
        <v>5.0</v>
      </c>
      <c r="M72" s="218">
        <v>1.0</v>
      </c>
      <c r="N72" s="219">
        <v>1.0</v>
      </c>
    </row>
    <row r="73" ht="15.75" customHeight="1">
      <c r="A73" s="218">
        <v>48.0</v>
      </c>
      <c r="B73" s="214">
        <v>55.0</v>
      </c>
      <c r="C73" s="233" t="s">
        <v>1781</v>
      </c>
      <c r="D73" s="214" t="s">
        <v>1782</v>
      </c>
      <c r="E73" s="216">
        <v>1.7248344E7</v>
      </c>
      <c r="F73" s="217">
        <v>4.0</v>
      </c>
      <c r="G73" s="218">
        <v>4.0</v>
      </c>
      <c r="H73" s="217">
        <v>2.0</v>
      </c>
      <c r="I73" s="218">
        <v>3.0</v>
      </c>
      <c r="J73" s="217">
        <v>3.0</v>
      </c>
      <c r="K73" s="218">
        <v>5.0</v>
      </c>
      <c r="L73" s="217">
        <v>5.0</v>
      </c>
      <c r="M73" s="218">
        <v>1.0</v>
      </c>
      <c r="N73" s="219">
        <v>1.0</v>
      </c>
    </row>
    <row r="74" ht="15.75" customHeight="1">
      <c r="A74" s="218">
        <v>49.0</v>
      </c>
      <c r="B74" s="214">
        <v>56.0</v>
      </c>
      <c r="C74" s="233" t="s">
        <v>1783</v>
      </c>
      <c r="D74" s="214" t="s">
        <v>1784</v>
      </c>
      <c r="E74" s="216">
        <v>3.312527E7</v>
      </c>
      <c r="F74" s="217">
        <v>4.0</v>
      </c>
      <c r="G74" s="218">
        <v>4.0</v>
      </c>
      <c r="H74" s="217">
        <v>2.0</v>
      </c>
      <c r="I74" s="218">
        <v>3.0</v>
      </c>
      <c r="J74" s="217">
        <v>3.0</v>
      </c>
      <c r="K74" s="218">
        <v>5.0</v>
      </c>
      <c r="L74" s="217">
        <v>5.0</v>
      </c>
      <c r="M74" s="218">
        <v>1.0</v>
      </c>
      <c r="N74" s="219">
        <v>1.0</v>
      </c>
    </row>
    <row r="75" ht="15.75" customHeight="1">
      <c r="A75" s="218">
        <v>50.0</v>
      </c>
      <c r="B75" s="220">
        <v>57.0</v>
      </c>
      <c r="C75" s="245" t="s">
        <v>1785</v>
      </c>
      <c r="D75" s="220" t="s">
        <v>1786</v>
      </c>
      <c r="E75" s="222">
        <v>1.4237151E7</v>
      </c>
      <c r="F75" s="236">
        <v>4.0</v>
      </c>
      <c r="G75" s="235">
        <v>4.0</v>
      </c>
      <c r="H75" s="236">
        <v>2.0</v>
      </c>
      <c r="I75" s="235">
        <v>3.0</v>
      </c>
      <c r="J75" s="236">
        <v>3.0</v>
      </c>
      <c r="K75" s="235">
        <v>5.0</v>
      </c>
      <c r="L75" s="236">
        <v>5.0</v>
      </c>
      <c r="M75" s="235">
        <v>1.0</v>
      </c>
      <c r="N75" s="240">
        <v>1.0</v>
      </c>
    </row>
    <row r="76" ht="15.75" customHeight="1">
      <c r="A76" s="218">
        <v>51.0</v>
      </c>
      <c r="B76" s="237">
        <v>58.0</v>
      </c>
      <c r="C76" s="241" t="s">
        <v>1787</v>
      </c>
      <c r="D76" s="237" t="s">
        <v>1713</v>
      </c>
      <c r="E76" s="239">
        <v>3.5450532E7</v>
      </c>
      <c r="F76" s="212">
        <v>4.0</v>
      </c>
      <c r="G76" s="208">
        <v>4.0</v>
      </c>
      <c r="H76" s="231">
        <v>2.0</v>
      </c>
      <c r="I76" s="230">
        <v>3.0</v>
      </c>
      <c r="J76" s="231">
        <v>3.0</v>
      </c>
      <c r="K76" s="230">
        <v>5.0</v>
      </c>
      <c r="L76" s="231">
        <v>5.0</v>
      </c>
      <c r="M76" s="230">
        <v>1.0</v>
      </c>
      <c r="N76" s="244">
        <v>1.0</v>
      </c>
    </row>
    <row r="77" ht="15.75" customHeight="1">
      <c r="A77" s="218">
        <v>52.0</v>
      </c>
      <c r="B77" s="214">
        <v>59.0</v>
      </c>
      <c r="C77" s="215" t="s">
        <v>1788</v>
      </c>
      <c r="D77" s="214" t="s">
        <v>1789</v>
      </c>
      <c r="E77" s="216">
        <v>3.0517832E7</v>
      </c>
      <c r="F77" s="217">
        <v>4.0</v>
      </c>
      <c r="G77" s="218">
        <v>4.0</v>
      </c>
      <c r="H77" s="217">
        <v>2.0</v>
      </c>
      <c r="I77" s="218">
        <v>3.0</v>
      </c>
      <c r="J77" s="217">
        <v>3.0</v>
      </c>
      <c r="K77" s="218">
        <v>5.0</v>
      </c>
      <c r="L77" s="217">
        <v>5.0</v>
      </c>
      <c r="M77" s="218">
        <v>1.0</v>
      </c>
      <c r="N77" s="219">
        <v>1.0</v>
      </c>
    </row>
    <row r="78" ht="15.75" customHeight="1">
      <c r="A78" s="218">
        <v>53.0</v>
      </c>
      <c r="B78" s="214">
        <v>60.0</v>
      </c>
      <c r="C78" s="233" t="s">
        <v>1790</v>
      </c>
      <c r="D78" s="214" t="s">
        <v>1791</v>
      </c>
      <c r="E78" s="216">
        <v>3.0517832E7</v>
      </c>
      <c r="F78" s="217">
        <v>4.0</v>
      </c>
      <c r="G78" s="218">
        <v>4.0</v>
      </c>
      <c r="H78" s="217">
        <v>2.0</v>
      </c>
      <c r="I78" s="218">
        <v>3.0</v>
      </c>
      <c r="J78" s="217">
        <v>3.0</v>
      </c>
      <c r="K78" s="218">
        <v>5.0</v>
      </c>
      <c r="L78" s="217">
        <v>5.0</v>
      </c>
      <c r="M78" s="218">
        <v>1.0</v>
      </c>
      <c r="N78" s="219">
        <v>1.0</v>
      </c>
    </row>
    <row r="79" ht="15.75" customHeight="1">
      <c r="A79" s="218">
        <v>54.0</v>
      </c>
      <c r="B79" s="214">
        <v>61.0</v>
      </c>
      <c r="C79" s="233" t="s">
        <v>1792</v>
      </c>
      <c r="D79" s="214" t="s">
        <v>1793</v>
      </c>
      <c r="E79" s="216">
        <v>1.2867697E7</v>
      </c>
      <c r="F79" s="217">
        <v>4.0</v>
      </c>
      <c r="G79" s="218">
        <v>4.0</v>
      </c>
      <c r="H79" s="217">
        <v>2.0</v>
      </c>
      <c r="I79" s="218">
        <v>3.0</v>
      </c>
      <c r="J79" s="217">
        <v>3.0</v>
      </c>
      <c r="K79" s="218">
        <v>5.0</v>
      </c>
      <c r="L79" s="217">
        <v>5.0</v>
      </c>
      <c r="M79" s="218">
        <v>1.0</v>
      </c>
      <c r="N79" s="219">
        <v>1.0</v>
      </c>
    </row>
    <row r="80" ht="15.75" customHeight="1">
      <c r="A80" s="218">
        <v>55.0</v>
      </c>
      <c r="B80" s="220">
        <v>62.0</v>
      </c>
      <c r="C80" s="245" t="s">
        <v>1794</v>
      </c>
      <c r="D80" s="220" t="s">
        <v>1795</v>
      </c>
      <c r="E80" s="222">
        <v>3.831247E7</v>
      </c>
      <c r="F80" s="236">
        <v>4.0</v>
      </c>
      <c r="G80" s="235">
        <v>4.0</v>
      </c>
      <c r="H80" s="236">
        <v>2.0</v>
      </c>
      <c r="I80" s="235">
        <v>3.0</v>
      </c>
      <c r="J80" s="236">
        <v>3.0</v>
      </c>
      <c r="K80" s="235">
        <v>5.0</v>
      </c>
      <c r="L80" s="236">
        <v>5.0</v>
      </c>
      <c r="M80" s="235">
        <v>1.0</v>
      </c>
      <c r="N80" s="240">
        <v>1.0</v>
      </c>
    </row>
    <row r="81" ht="15.75" customHeight="1">
      <c r="A81" s="218">
        <v>56.0</v>
      </c>
      <c r="B81" s="247">
        <v>63.0</v>
      </c>
      <c r="C81" s="238" t="s">
        <v>1796</v>
      </c>
      <c r="D81" s="248" t="s">
        <v>1797</v>
      </c>
      <c r="E81" s="239">
        <v>1.2539806E7</v>
      </c>
      <c r="F81" s="212">
        <v>4.0</v>
      </c>
      <c r="G81" s="208">
        <v>4.0</v>
      </c>
      <c r="H81" s="231">
        <v>2.0</v>
      </c>
      <c r="I81" s="230">
        <v>3.0</v>
      </c>
      <c r="J81" s="231">
        <v>3.0</v>
      </c>
      <c r="K81" s="230">
        <v>5.0</v>
      </c>
      <c r="L81" s="231">
        <v>5.0</v>
      </c>
      <c r="M81" s="230">
        <v>1.0</v>
      </c>
      <c r="N81" s="244">
        <v>1.0</v>
      </c>
    </row>
    <row r="82" ht="15.75" customHeight="1">
      <c r="A82" s="218">
        <v>57.0</v>
      </c>
      <c r="B82" s="249">
        <v>64.0</v>
      </c>
      <c r="C82" s="233" t="s">
        <v>1798</v>
      </c>
      <c r="D82" s="250" t="s">
        <v>1799</v>
      </c>
      <c r="E82" s="216">
        <v>2.3077048E7</v>
      </c>
      <c r="F82" s="217">
        <v>4.0</v>
      </c>
      <c r="G82" s="218">
        <v>4.0</v>
      </c>
      <c r="H82" s="217">
        <v>2.0</v>
      </c>
      <c r="I82" s="218">
        <v>3.0</v>
      </c>
      <c r="J82" s="217">
        <v>3.0</v>
      </c>
      <c r="K82" s="218">
        <v>5.0</v>
      </c>
      <c r="L82" s="217">
        <v>5.0</v>
      </c>
      <c r="M82" s="218">
        <v>1.0</v>
      </c>
      <c r="N82" s="219">
        <v>1.0</v>
      </c>
    </row>
    <row r="83" ht="15.75" customHeight="1">
      <c r="A83" s="218">
        <v>58.0</v>
      </c>
      <c r="B83" s="249">
        <v>65.0</v>
      </c>
      <c r="C83" s="215" t="s">
        <v>1800</v>
      </c>
      <c r="D83" s="250" t="s">
        <v>1801</v>
      </c>
      <c r="E83" s="216">
        <v>2.4033837E7</v>
      </c>
      <c r="F83" s="217">
        <v>4.0</v>
      </c>
      <c r="G83" s="218">
        <v>4.0</v>
      </c>
      <c r="H83" s="217">
        <v>2.0</v>
      </c>
      <c r="I83" s="218">
        <v>3.0</v>
      </c>
      <c r="J83" s="217">
        <v>3.0</v>
      </c>
      <c r="K83" s="218">
        <v>5.0</v>
      </c>
      <c r="L83" s="217">
        <v>5.0</v>
      </c>
      <c r="M83" s="218">
        <v>1.0</v>
      </c>
      <c r="N83" s="219">
        <v>1.0</v>
      </c>
    </row>
    <row r="84" ht="15.75" customHeight="1">
      <c r="A84" s="218">
        <v>59.0</v>
      </c>
      <c r="B84" s="249">
        <v>66.0</v>
      </c>
      <c r="C84" s="233" t="s">
        <v>1802</v>
      </c>
      <c r="D84" s="250" t="s">
        <v>1803</v>
      </c>
      <c r="E84" s="216">
        <v>1.6770049E7</v>
      </c>
      <c r="F84" s="217">
        <v>4.0</v>
      </c>
      <c r="G84" s="218">
        <v>4.0</v>
      </c>
      <c r="H84" s="217">
        <v>2.0</v>
      </c>
      <c r="I84" s="218">
        <v>3.0</v>
      </c>
      <c r="J84" s="217">
        <v>3.0</v>
      </c>
      <c r="K84" s="218">
        <v>5.0</v>
      </c>
      <c r="L84" s="217">
        <v>5.0</v>
      </c>
      <c r="M84" s="218">
        <v>1.0</v>
      </c>
      <c r="N84" s="219">
        <v>1.0</v>
      </c>
    </row>
    <row r="85" ht="15.75" customHeight="1">
      <c r="A85" s="218">
        <v>60.0</v>
      </c>
      <c r="B85" s="251" t="s">
        <v>1011</v>
      </c>
      <c r="C85" s="245" t="s">
        <v>1804</v>
      </c>
      <c r="D85" s="252" t="s">
        <v>1805</v>
      </c>
      <c r="E85" s="253">
        <v>1.7667222E7</v>
      </c>
      <c r="F85" s="236">
        <v>4.0</v>
      </c>
      <c r="G85" s="235">
        <v>4.0</v>
      </c>
      <c r="H85" s="236">
        <v>2.0</v>
      </c>
      <c r="I85" s="235">
        <v>3.0</v>
      </c>
      <c r="J85" s="236">
        <v>3.0</v>
      </c>
      <c r="K85" s="235">
        <v>5.0</v>
      </c>
      <c r="L85" s="236">
        <v>5.0</v>
      </c>
      <c r="M85" s="235">
        <v>1.0</v>
      </c>
      <c r="N85" s="240">
        <v>1.0</v>
      </c>
    </row>
    <row r="86" ht="15.75" customHeight="1">
      <c r="A86" s="230">
        <v>61.0</v>
      </c>
      <c r="B86" s="248">
        <v>68.0</v>
      </c>
      <c r="C86" s="254" t="s">
        <v>1806</v>
      </c>
      <c r="D86" s="237" t="s">
        <v>1807</v>
      </c>
      <c r="E86" s="255">
        <v>2.7223336E7</v>
      </c>
      <c r="F86" s="243">
        <v>4.0</v>
      </c>
      <c r="G86" s="243">
        <v>4.0</v>
      </c>
      <c r="H86" s="231">
        <v>2.0</v>
      </c>
      <c r="I86" s="230">
        <v>3.0</v>
      </c>
      <c r="J86" s="231">
        <v>3.0</v>
      </c>
      <c r="K86" s="230">
        <v>5.0</v>
      </c>
      <c r="L86" s="231">
        <v>5.0</v>
      </c>
      <c r="M86" s="230">
        <v>1.0</v>
      </c>
      <c r="N86" s="244">
        <v>1.0</v>
      </c>
    </row>
    <row r="87" ht="15.75" customHeight="1">
      <c r="A87" s="218">
        <v>62.0</v>
      </c>
      <c r="B87" s="250">
        <v>69.0</v>
      </c>
      <c r="C87" s="256" t="s">
        <v>1808</v>
      </c>
      <c r="D87" s="214" t="s">
        <v>1809</v>
      </c>
      <c r="E87" s="232">
        <v>2.2019659E7</v>
      </c>
      <c r="F87" s="218">
        <v>4.0</v>
      </c>
      <c r="G87" s="218">
        <v>4.0</v>
      </c>
      <c r="H87" s="217">
        <v>2.0</v>
      </c>
      <c r="I87" s="218">
        <v>3.0</v>
      </c>
      <c r="J87" s="217">
        <v>3.0</v>
      </c>
      <c r="K87" s="218">
        <v>5.0</v>
      </c>
      <c r="L87" s="217">
        <v>5.0</v>
      </c>
      <c r="M87" s="218">
        <v>1.0</v>
      </c>
      <c r="N87" s="219">
        <v>1.0</v>
      </c>
    </row>
    <row r="88" ht="15.75" customHeight="1">
      <c r="A88" s="218">
        <v>63.0</v>
      </c>
      <c r="B88" s="250">
        <v>70.0</v>
      </c>
      <c r="C88" s="256" t="s">
        <v>1810</v>
      </c>
      <c r="D88" s="197" t="s">
        <v>1811</v>
      </c>
      <c r="E88" s="257">
        <v>1.6065076E7</v>
      </c>
      <c r="F88" s="218">
        <v>4.0</v>
      </c>
      <c r="G88" s="218">
        <v>4.0</v>
      </c>
      <c r="H88" s="217">
        <v>2.0</v>
      </c>
      <c r="I88" s="218">
        <v>3.0</v>
      </c>
      <c r="J88" s="217">
        <v>3.0</v>
      </c>
      <c r="K88" s="218">
        <v>5.0</v>
      </c>
      <c r="L88" s="217">
        <v>5.0</v>
      </c>
      <c r="M88" s="218">
        <v>1.0</v>
      </c>
      <c r="N88" s="219">
        <v>1.0</v>
      </c>
    </row>
    <row r="89" ht="15.75" customHeight="1">
      <c r="A89" s="218">
        <v>64.0</v>
      </c>
      <c r="B89" s="258">
        <v>72.0</v>
      </c>
      <c r="C89" s="259" t="s">
        <v>1812</v>
      </c>
      <c r="D89" s="220" t="s">
        <v>1813</v>
      </c>
      <c r="E89" s="234">
        <v>1.2686363E7</v>
      </c>
      <c r="F89" s="235">
        <v>4.0</v>
      </c>
      <c r="G89" s="235">
        <v>4.0</v>
      </c>
      <c r="H89" s="236">
        <v>2.0</v>
      </c>
      <c r="I89" s="235">
        <v>3.0</v>
      </c>
      <c r="J89" s="236">
        <v>3.0</v>
      </c>
      <c r="K89" s="235">
        <v>5.0</v>
      </c>
      <c r="L89" s="236">
        <v>5.0</v>
      </c>
      <c r="M89" s="235">
        <v>1.0</v>
      </c>
      <c r="N89" s="240">
        <v>1.0</v>
      </c>
    </row>
    <row r="90" ht="15.75" customHeight="1">
      <c r="A90" s="218">
        <v>65.0</v>
      </c>
      <c r="B90" s="248">
        <v>73.0</v>
      </c>
      <c r="C90" s="254" t="s">
        <v>1814</v>
      </c>
      <c r="D90" s="237" t="s">
        <v>1815</v>
      </c>
      <c r="E90" s="239">
        <v>2.3076679E7</v>
      </c>
      <c r="F90" s="212">
        <v>4.0</v>
      </c>
      <c r="G90" s="208">
        <v>4.0</v>
      </c>
      <c r="H90" s="231">
        <v>2.0</v>
      </c>
      <c r="I90" s="230">
        <v>3.0</v>
      </c>
      <c r="J90" s="231">
        <v>3.0</v>
      </c>
      <c r="K90" s="230">
        <v>5.0</v>
      </c>
      <c r="L90" s="231">
        <v>5.0</v>
      </c>
      <c r="M90" s="230">
        <v>1.0</v>
      </c>
      <c r="N90" s="244">
        <v>1.0</v>
      </c>
    </row>
    <row r="91" ht="15.75" customHeight="1">
      <c r="A91" s="218">
        <v>66.0</v>
      </c>
      <c r="B91" s="250">
        <v>75.0</v>
      </c>
      <c r="C91" s="256" t="s">
        <v>1816</v>
      </c>
      <c r="D91" s="214" t="s">
        <v>1817</v>
      </c>
      <c r="E91" s="216">
        <v>2.6504753E7</v>
      </c>
      <c r="F91" s="217">
        <v>4.0</v>
      </c>
      <c r="G91" s="218">
        <v>4.0</v>
      </c>
      <c r="H91" s="217">
        <v>2.0</v>
      </c>
      <c r="I91" s="218">
        <v>3.0</v>
      </c>
      <c r="J91" s="217">
        <v>3.0</v>
      </c>
      <c r="K91" s="218">
        <v>5.0</v>
      </c>
      <c r="L91" s="217">
        <v>5.0</v>
      </c>
      <c r="M91" s="218">
        <v>1.0</v>
      </c>
      <c r="N91" s="219">
        <v>1.0</v>
      </c>
    </row>
    <row r="92" ht="15.75" customHeight="1">
      <c r="A92" s="218">
        <v>67.0</v>
      </c>
      <c r="B92" s="258">
        <v>77.0</v>
      </c>
      <c r="C92" s="259" t="s">
        <v>1818</v>
      </c>
      <c r="D92" s="220" t="s">
        <v>1819</v>
      </c>
      <c r="E92" s="222">
        <v>3.0385406E7</v>
      </c>
      <c r="F92" s="212">
        <v>4.0</v>
      </c>
      <c r="G92" s="208">
        <v>4.0</v>
      </c>
      <c r="H92" s="236">
        <v>2.0</v>
      </c>
      <c r="I92" s="235">
        <v>3.0</v>
      </c>
      <c r="J92" s="236">
        <v>3.0</v>
      </c>
      <c r="K92" s="235">
        <v>5.0</v>
      </c>
      <c r="L92" s="236">
        <v>5.0</v>
      </c>
      <c r="M92" s="235">
        <v>1.0</v>
      </c>
      <c r="N92" s="240">
        <v>1.0</v>
      </c>
    </row>
    <row r="93" ht="15.75" customHeight="1">
      <c r="A93" s="218">
        <v>68.0</v>
      </c>
      <c r="B93" s="248">
        <v>78.0</v>
      </c>
      <c r="C93" s="260" t="s">
        <v>1820</v>
      </c>
      <c r="D93" s="237" t="s">
        <v>1821</v>
      </c>
      <c r="E93" s="239">
        <v>2.4937741E7</v>
      </c>
      <c r="F93" s="242">
        <v>4.0</v>
      </c>
      <c r="G93" s="243">
        <v>4.0</v>
      </c>
      <c r="H93" s="231">
        <v>2.0</v>
      </c>
      <c r="I93" s="230">
        <v>3.0</v>
      </c>
      <c r="J93" s="231">
        <v>3.0</v>
      </c>
      <c r="K93" s="230">
        <v>5.0</v>
      </c>
      <c r="L93" s="231">
        <v>5.0</v>
      </c>
      <c r="M93" s="230">
        <v>1.0</v>
      </c>
      <c r="N93" s="244">
        <v>1.0</v>
      </c>
    </row>
    <row r="94" ht="15.75" customHeight="1">
      <c r="A94" s="218">
        <v>69.0</v>
      </c>
      <c r="B94" s="250">
        <v>79.0</v>
      </c>
      <c r="C94" s="256" t="s">
        <v>1822</v>
      </c>
      <c r="D94" s="214" t="s">
        <v>1823</v>
      </c>
      <c r="E94" s="216">
        <v>2.7189372E7</v>
      </c>
      <c r="F94" s="217">
        <v>4.0</v>
      </c>
      <c r="G94" s="218">
        <v>4.0</v>
      </c>
      <c r="H94" s="217">
        <v>2.0</v>
      </c>
      <c r="I94" s="218">
        <v>3.0</v>
      </c>
      <c r="J94" s="217">
        <v>3.0</v>
      </c>
      <c r="K94" s="218">
        <v>5.0</v>
      </c>
      <c r="L94" s="217">
        <v>5.0</v>
      </c>
      <c r="M94" s="218">
        <v>1.0</v>
      </c>
      <c r="N94" s="219">
        <v>1.0</v>
      </c>
    </row>
    <row r="95" ht="15.75" customHeight="1">
      <c r="A95" s="218">
        <v>70.0</v>
      </c>
      <c r="B95" s="250">
        <v>80.0</v>
      </c>
      <c r="C95" s="256" t="s">
        <v>1824</v>
      </c>
      <c r="D95" s="214" t="s">
        <v>1825</v>
      </c>
      <c r="E95" s="216">
        <v>1.4939264E7</v>
      </c>
      <c r="F95" s="217">
        <v>4.0</v>
      </c>
      <c r="G95" s="218">
        <v>4.0</v>
      </c>
      <c r="H95" s="217">
        <v>2.0</v>
      </c>
      <c r="I95" s="218">
        <v>3.0</v>
      </c>
      <c r="J95" s="217">
        <v>3.0</v>
      </c>
      <c r="K95" s="218">
        <v>5.0</v>
      </c>
      <c r="L95" s="217">
        <v>5.0</v>
      </c>
      <c r="M95" s="218">
        <v>1.0</v>
      </c>
      <c r="N95" s="219">
        <v>1.0</v>
      </c>
    </row>
    <row r="96" ht="15.75" customHeight="1">
      <c r="A96" s="218">
        <v>71.0</v>
      </c>
      <c r="B96" s="250">
        <v>81.0</v>
      </c>
      <c r="C96" s="256" t="s">
        <v>1826</v>
      </c>
      <c r="D96" s="214" t="s">
        <v>1827</v>
      </c>
      <c r="E96" s="216">
        <v>6145597.0</v>
      </c>
      <c r="F96" s="217">
        <v>4.0</v>
      </c>
      <c r="G96" s="218">
        <v>4.0</v>
      </c>
      <c r="H96" s="217">
        <v>2.0</v>
      </c>
      <c r="I96" s="218">
        <v>3.0</v>
      </c>
      <c r="J96" s="217">
        <v>3.0</v>
      </c>
      <c r="K96" s="218">
        <v>5.0</v>
      </c>
      <c r="L96" s="217">
        <v>5.0</v>
      </c>
      <c r="M96" s="218">
        <v>1.0</v>
      </c>
      <c r="N96" s="219">
        <v>1.0</v>
      </c>
    </row>
    <row r="97" ht="15.75" customHeight="1">
      <c r="A97" s="218">
        <v>72.0</v>
      </c>
      <c r="B97" s="261">
        <v>82.0</v>
      </c>
      <c r="C97" s="262" t="s">
        <v>1828</v>
      </c>
      <c r="D97" s="263" t="s">
        <v>1829</v>
      </c>
      <c r="E97" s="264">
        <v>1.286755E7</v>
      </c>
      <c r="F97" s="197">
        <v>4.0</v>
      </c>
      <c r="G97" s="223">
        <v>4.0</v>
      </c>
      <c r="H97" s="224">
        <v>2.0</v>
      </c>
      <c r="I97" s="225">
        <v>3.0</v>
      </c>
      <c r="J97" s="224">
        <v>3.0</v>
      </c>
      <c r="K97" s="225">
        <v>5.0</v>
      </c>
      <c r="L97" s="224">
        <v>5.0</v>
      </c>
      <c r="M97" s="225">
        <v>1.0</v>
      </c>
      <c r="N97" s="226">
        <v>1.0</v>
      </c>
    </row>
    <row r="98" ht="15.75" customHeight="1">
      <c r="A98" s="218">
        <v>73.0</v>
      </c>
      <c r="B98" s="248">
        <v>83.0</v>
      </c>
      <c r="C98" s="260" t="s">
        <v>1830</v>
      </c>
      <c r="D98" s="237" t="s">
        <v>1831</v>
      </c>
      <c r="E98" s="239">
        <v>1.8132892E7</v>
      </c>
      <c r="F98" s="231">
        <v>4.0</v>
      </c>
      <c r="G98" s="230">
        <v>4.0</v>
      </c>
      <c r="H98" s="231">
        <v>2.0</v>
      </c>
      <c r="I98" s="230">
        <v>3.0</v>
      </c>
      <c r="J98" s="231">
        <v>3.0</v>
      </c>
      <c r="K98" s="230">
        <v>5.0</v>
      </c>
      <c r="L98" s="231">
        <v>5.0</v>
      </c>
      <c r="M98" s="230">
        <v>1.0</v>
      </c>
      <c r="N98" s="244">
        <v>1.0</v>
      </c>
    </row>
    <row r="99" ht="15.75" customHeight="1">
      <c r="A99" s="218">
        <v>74.0</v>
      </c>
      <c r="B99" s="250">
        <v>93.0</v>
      </c>
      <c r="C99" s="265" t="s">
        <v>1832</v>
      </c>
      <c r="D99" s="214" t="s">
        <v>1833</v>
      </c>
      <c r="E99" s="216">
        <v>2.6076132E7</v>
      </c>
      <c r="F99" s="217">
        <v>4.0</v>
      </c>
      <c r="G99" s="218">
        <v>4.0</v>
      </c>
      <c r="H99" s="217">
        <v>2.0</v>
      </c>
      <c r="I99" s="218">
        <v>3.0</v>
      </c>
      <c r="J99" s="217">
        <v>3.0</v>
      </c>
      <c r="K99" s="218">
        <v>5.0</v>
      </c>
      <c r="L99" s="217">
        <v>5.0</v>
      </c>
      <c r="M99" s="218">
        <v>1.0</v>
      </c>
      <c r="N99" s="219">
        <v>1.0</v>
      </c>
    </row>
    <row r="100" ht="15.75" customHeight="1">
      <c r="A100" s="218">
        <v>75.0</v>
      </c>
      <c r="B100" s="250">
        <v>94.0</v>
      </c>
      <c r="C100" s="256" t="s">
        <v>1834</v>
      </c>
      <c r="D100" s="214" t="s">
        <v>1835</v>
      </c>
      <c r="E100" s="216">
        <v>2.8303118E7</v>
      </c>
      <c r="F100" s="217">
        <v>4.0</v>
      </c>
      <c r="G100" s="218">
        <v>4.0</v>
      </c>
      <c r="H100" s="217">
        <v>2.0</v>
      </c>
      <c r="I100" s="218">
        <v>3.0</v>
      </c>
      <c r="J100" s="217">
        <v>3.0</v>
      </c>
      <c r="K100" s="218">
        <v>5.0</v>
      </c>
      <c r="L100" s="217">
        <v>5.0</v>
      </c>
      <c r="M100" s="218">
        <v>1.0</v>
      </c>
      <c r="N100" s="219">
        <v>1.0</v>
      </c>
    </row>
    <row r="101" ht="15.75" customHeight="1">
      <c r="A101" s="218">
        <v>76.0</v>
      </c>
      <c r="B101" s="250">
        <v>95.0</v>
      </c>
      <c r="C101" s="256" t="s">
        <v>1836</v>
      </c>
      <c r="D101" s="214" t="s">
        <v>1837</v>
      </c>
      <c r="E101" s="216">
        <v>1.6357153E7</v>
      </c>
      <c r="F101" s="217">
        <v>4.0</v>
      </c>
      <c r="G101" s="218">
        <v>4.0</v>
      </c>
      <c r="H101" s="217">
        <v>2.0</v>
      </c>
      <c r="I101" s="218">
        <v>3.0</v>
      </c>
      <c r="J101" s="217">
        <v>3.0</v>
      </c>
      <c r="K101" s="218">
        <v>5.0</v>
      </c>
      <c r="L101" s="217">
        <v>5.0</v>
      </c>
      <c r="M101" s="218">
        <v>1.0</v>
      </c>
      <c r="N101" s="219">
        <v>1.0</v>
      </c>
    </row>
    <row r="102" ht="15.75" customHeight="1">
      <c r="A102" s="218">
        <v>77.0</v>
      </c>
      <c r="B102" s="250">
        <v>96.0</v>
      </c>
      <c r="C102" s="256" t="s">
        <v>1838</v>
      </c>
      <c r="D102" s="214" t="s">
        <v>1839</v>
      </c>
      <c r="E102" s="216">
        <v>2.1827504E7</v>
      </c>
      <c r="F102" s="217">
        <v>4.0</v>
      </c>
      <c r="G102" s="218">
        <v>4.0</v>
      </c>
      <c r="H102" s="217">
        <v>2.0</v>
      </c>
      <c r="I102" s="218">
        <v>3.0</v>
      </c>
      <c r="J102" s="217">
        <v>3.0</v>
      </c>
      <c r="K102" s="218">
        <v>5.0</v>
      </c>
      <c r="L102" s="217">
        <v>5.0</v>
      </c>
      <c r="M102" s="218">
        <v>1.0</v>
      </c>
      <c r="N102" s="219">
        <v>1.0</v>
      </c>
    </row>
    <row r="103" ht="15.75" customHeight="1">
      <c r="A103" s="218">
        <v>78.0</v>
      </c>
      <c r="B103" s="250">
        <v>97.0</v>
      </c>
      <c r="C103" s="256" t="s">
        <v>1840</v>
      </c>
      <c r="D103" s="214" t="s">
        <v>1841</v>
      </c>
      <c r="E103" s="216">
        <v>3.2566504E7</v>
      </c>
      <c r="F103" s="217">
        <v>4.0</v>
      </c>
      <c r="G103" s="218">
        <v>4.0</v>
      </c>
      <c r="H103" s="217">
        <v>2.0</v>
      </c>
      <c r="I103" s="218">
        <v>3.0</v>
      </c>
      <c r="J103" s="217">
        <v>3.0</v>
      </c>
      <c r="K103" s="218">
        <v>5.0</v>
      </c>
      <c r="L103" s="217">
        <v>5.0</v>
      </c>
      <c r="M103" s="218">
        <v>1.0</v>
      </c>
      <c r="N103" s="219">
        <v>1.0</v>
      </c>
    </row>
    <row r="104" ht="15.75" customHeight="1">
      <c r="A104" s="218">
        <v>79.0</v>
      </c>
      <c r="B104" s="258">
        <v>98.0</v>
      </c>
      <c r="C104" s="259" t="s">
        <v>1688</v>
      </c>
      <c r="D104" s="220" t="s">
        <v>1842</v>
      </c>
      <c r="E104" s="222">
        <v>2.3247879E7</v>
      </c>
      <c r="F104" s="236">
        <v>4.0</v>
      </c>
      <c r="G104" s="235">
        <v>4.0</v>
      </c>
      <c r="H104" s="236">
        <v>2.0</v>
      </c>
      <c r="I104" s="235">
        <v>3.0</v>
      </c>
      <c r="J104" s="236">
        <v>3.0</v>
      </c>
      <c r="K104" s="235">
        <v>5.0</v>
      </c>
      <c r="L104" s="236">
        <v>5.0</v>
      </c>
      <c r="M104" s="235">
        <v>1.0</v>
      </c>
      <c r="N104" s="240">
        <v>1.0</v>
      </c>
    </row>
    <row r="105" ht="15.75" customHeight="1">
      <c r="A105" s="218">
        <v>80.0</v>
      </c>
      <c r="B105" s="266">
        <v>101.0</v>
      </c>
      <c r="C105" s="267" t="s">
        <v>1843</v>
      </c>
      <c r="D105" s="209" t="s">
        <v>1844</v>
      </c>
      <c r="E105" s="211">
        <v>5416088.0</v>
      </c>
      <c r="F105" s="212">
        <v>4.0</v>
      </c>
      <c r="G105" s="208">
        <v>4.0</v>
      </c>
      <c r="H105" s="212">
        <v>2.0</v>
      </c>
      <c r="I105" s="208">
        <v>3.0</v>
      </c>
      <c r="J105" s="212">
        <v>3.0</v>
      </c>
      <c r="K105" s="208">
        <v>5.0</v>
      </c>
      <c r="L105" s="212">
        <v>5.0</v>
      </c>
      <c r="M105" s="208">
        <v>1.0</v>
      </c>
      <c r="N105" s="213">
        <v>1.0</v>
      </c>
    </row>
    <row r="106" ht="15.75" customHeight="1">
      <c r="A106" s="218">
        <v>81.0</v>
      </c>
      <c r="B106" s="268">
        <v>112.0</v>
      </c>
      <c r="C106" s="269" t="s">
        <v>1845</v>
      </c>
      <c r="D106" s="270" t="s">
        <v>1846</v>
      </c>
      <c r="E106" s="216">
        <v>3.6673496E7</v>
      </c>
      <c r="F106" s="217">
        <v>4.0</v>
      </c>
      <c r="G106" s="218">
        <v>4.0</v>
      </c>
      <c r="H106" s="217">
        <v>2.0</v>
      </c>
      <c r="I106" s="218">
        <v>3.0</v>
      </c>
      <c r="J106" s="217">
        <v>3.0</v>
      </c>
      <c r="K106" s="218">
        <v>5.0</v>
      </c>
      <c r="L106" s="217">
        <v>5.0</v>
      </c>
      <c r="M106" s="218">
        <v>1.0</v>
      </c>
      <c r="N106" s="219">
        <v>1.0</v>
      </c>
    </row>
    <row r="107" ht="15.75" customHeight="1">
      <c r="A107" s="218">
        <v>82.0</v>
      </c>
      <c r="B107" s="250">
        <v>201.0</v>
      </c>
      <c r="C107" s="256" t="s">
        <v>1847</v>
      </c>
      <c r="D107" s="214" t="s">
        <v>1848</v>
      </c>
      <c r="E107" s="216">
        <v>1.6141044E7</v>
      </c>
      <c r="F107" s="217">
        <v>4.0</v>
      </c>
      <c r="G107" s="218">
        <v>4.0</v>
      </c>
      <c r="H107" s="217">
        <v>2.0</v>
      </c>
      <c r="I107" s="218">
        <v>3.0</v>
      </c>
      <c r="J107" s="217">
        <v>3.0</v>
      </c>
      <c r="K107" s="218">
        <v>5.0</v>
      </c>
      <c r="L107" s="217">
        <v>5.0</v>
      </c>
      <c r="M107" s="218">
        <v>1.0</v>
      </c>
      <c r="N107" s="219">
        <v>1.0</v>
      </c>
    </row>
    <row r="108" ht="15.75" customHeight="1">
      <c r="A108" s="218">
        <v>83.0</v>
      </c>
      <c r="B108" s="250">
        <v>202.0</v>
      </c>
      <c r="C108" s="256" t="s">
        <v>1849</v>
      </c>
      <c r="D108" s="214" t="s">
        <v>1850</v>
      </c>
      <c r="E108" s="216">
        <v>2.7482555E7</v>
      </c>
      <c r="F108" s="217">
        <v>4.0</v>
      </c>
      <c r="G108" s="218">
        <v>4.0</v>
      </c>
      <c r="H108" s="217">
        <v>2.0</v>
      </c>
      <c r="I108" s="218">
        <v>3.0</v>
      </c>
      <c r="J108" s="217">
        <v>3.0</v>
      </c>
      <c r="K108" s="218">
        <v>5.0</v>
      </c>
      <c r="L108" s="217">
        <v>5.0</v>
      </c>
      <c r="M108" s="218">
        <v>1.0</v>
      </c>
      <c r="N108" s="219">
        <v>1.0</v>
      </c>
    </row>
    <row r="109" ht="15.75" customHeight="1">
      <c r="A109" s="218">
        <v>84.0</v>
      </c>
      <c r="B109" s="261">
        <v>203.0</v>
      </c>
      <c r="C109" s="262" t="s">
        <v>1851</v>
      </c>
      <c r="D109" s="263" t="s">
        <v>1852</v>
      </c>
      <c r="E109" s="264">
        <v>2.7189622E7</v>
      </c>
      <c r="F109" s="224">
        <v>4.0</v>
      </c>
      <c r="G109" s="225">
        <v>4.0</v>
      </c>
      <c r="H109" s="224">
        <v>2.0</v>
      </c>
      <c r="I109" s="225">
        <v>3.0</v>
      </c>
      <c r="J109" s="224">
        <v>3.0</v>
      </c>
      <c r="K109" s="225">
        <v>5.0</v>
      </c>
      <c r="L109" s="224">
        <v>5.0</v>
      </c>
      <c r="M109" s="225">
        <v>1.0</v>
      </c>
      <c r="N109" s="226">
        <v>1.0</v>
      </c>
    </row>
    <row r="110" ht="15.75" customHeight="1">
      <c r="A110" s="271">
        <v>85.0</v>
      </c>
      <c r="B110" s="248">
        <v>204.0</v>
      </c>
      <c r="C110" s="241" t="s">
        <v>1853</v>
      </c>
      <c r="D110" s="247" t="s">
        <v>1854</v>
      </c>
      <c r="E110" s="272">
        <v>2.1870412E7</v>
      </c>
      <c r="F110" s="230">
        <v>4.0</v>
      </c>
      <c r="G110" s="244">
        <v>4.0</v>
      </c>
      <c r="H110" s="231">
        <v>2.0</v>
      </c>
      <c r="I110" s="230">
        <v>3.0</v>
      </c>
      <c r="J110" s="231">
        <v>3.0</v>
      </c>
      <c r="K110" s="230">
        <v>5.0</v>
      </c>
      <c r="L110" s="231">
        <v>5.0</v>
      </c>
      <c r="M110" s="230">
        <v>1.0</v>
      </c>
      <c r="N110" s="244">
        <v>1.0</v>
      </c>
    </row>
    <row r="111" ht="15.75" customHeight="1">
      <c r="A111" s="271">
        <v>86.0</v>
      </c>
      <c r="B111" s="250">
        <v>205.0</v>
      </c>
      <c r="C111" s="233" t="s">
        <v>1855</v>
      </c>
      <c r="D111" s="249" t="s">
        <v>1856</v>
      </c>
      <c r="E111" s="273">
        <v>2.7715355E7</v>
      </c>
      <c r="F111" s="218">
        <v>4.0</v>
      </c>
      <c r="G111" s="219">
        <v>4.0</v>
      </c>
      <c r="H111" s="217">
        <v>2.0</v>
      </c>
      <c r="I111" s="218">
        <v>3.0</v>
      </c>
      <c r="J111" s="217">
        <v>3.0</v>
      </c>
      <c r="K111" s="218">
        <v>5.0</v>
      </c>
      <c r="L111" s="217">
        <v>5.0</v>
      </c>
      <c r="M111" s="218">
        <v>1.0</v>
      </c>
      <c r="N111" s="219">
        <v>1.0</v>
      </c>
    </row>
    <row r="112" ht="15.75" customHeight="1">
      <c r="A112" s="271">
        <v>87.0</v>
      </c>
      <c r="B112" s="250">
        <v>206.0</v>
      </c>
      <c r="C112" s="233" t="s">
        <v>1857</v>
      </c>
      <c r="D112" s="249" t="s">
        <v>1858</v>
      </c>
      <c r="E112" s="273">
        <v>2.4317846E7</v>
      </c>
      <c r="F112" s="218">
        <v>4.0</v>
      </c>
      <c r="G112" s="219">
        <v>4.0</v>
      </c>
      <c r="H112" s="217">
        <v>2.0</v>
      </c>
      <c r="I112" s="218">
        <v>3.0</v>
      </c>
      <c r="J112" s="217">
        <v>3.0</v>
      </c>
      <c r="K112" s="218">
        <v>5.0</v>
      </c>
      <c r="L112" s="217">
        <v>5.0</v>
      </c>
      <c r="M112" s="218">
        <v>1.0</v>
      </c>
      <c r="N112" s="219">
        <v>1.0</v>
      </c>
    </row>
    <row r="113" ht="15.75" customHeight="1">
      <c r="A113" s="271">
        <v>88.0</v>
      </c>
      <c r="B113" s="250" t="s">
        <v>1011</v>
      </c>
      <c r="C113" s="233" t="s">
        <v>1859</v>
      </c>
      <c r="D113" s="249" t="s">
        <v>1860</v>
      </c>
      <c r="E113" s="273">
        <v>3.3636215E7</v>
      </c>
      <c r="F113" s="218">
        <v>4.0</v>
      </c>
      <c r="G113" s="219">
        <v>4.0</v>
      </c>
      <c r="H113" s="217">
        <v>2.0</v>
      </c>
      <c r="I113" s="218">
        <v>3.0</v>
      </c>
      <c r="J113" s="217">
        <v>3.0</v>
      </c>
      <c r="K113" s="218">
        <v>5.0</v>
      </c>
      <c r="L113" s="217">
        <v>5.0</v>
      </c>
      <c r="M113" s="218">
        <v>1.0</v>
      </c>
      <c r="N113" s="219">
        <v>1.0</v>
      </c>
    </row>
    <row r="114" ht="15.75" customHeight="1">
      <c r="A114" s="271">
        <v>89.0</v>
      </c>
      <c r="B114" s="218" t="s">
        <v>1011</v>
      </c>
      <c r="C114" s="215" t="s">
        <v>1861</v>
      </c>
      <c r="D114" s="219" t="s">
        <v>1862</v>
      </c>
      <c r="E114" s="274">
        <v>2.9464608E7</v>
      </c>
      <c r="F114" s="218">
        <v>8.0</v>
      </c>
      <c r="G114" s="219">
        <v>8.0</v>
      </c>
      <c r="H114" s="217">
        <v>4.0</v>
      </c>
      <c r="I114" s="218">
        <v>6.0</v>
      </c>
      <c r="J114" s="217">
        <v>6.0</v>
      </c>
      <c r="K114" s="218">
        <v>10.0</v>
      </c>
      <c r="L114" s="217">
        <v>10.0</v>
      </c>
      <c r="M114" s="218">
        <v>2.0</v>
      </c>
      <c r="N114" s="219">
        <v>2.0</v>
      </c>
    </row>
    <row r="115" ht="15.75" customHeight="1">
      <c r="A115" s="271">
        <v>90.0</v>
      </c>
      <c r="B115" s="268" t="s">
        <v>1011</v>
      </c>
      <c r="C115" s="275" t="s">
        <v>1863</v>
      </c>
      <c r="D115" s="219" t="s">
        <v>1864</v>
      </c>
      <c r="E115" s="273">
        <v>2.8666766E7</v>
      </c>
      <c r="F115" s="218">
        <v>4.0</v>
      </c>
      <c r="G115" s="219">
        <v>4.0</v>
      </c>
      <c r="H115" s="217">
        <v>2.0</v>
      </c>
      <c r="I115" s="218">
        <v>3.0</v>
      </c>
      <c r="J115" s="217">
        <v>3.0</v>
      </c>
      <c r="K115" s="218">
        <v>5.0</v>
      </c>
      <c r="L115" s="217">
        <v>5.0</v>
      </c>
      <c r="M115" s="218">
        <v>1.0</v>
      </c>
      <c r="N115" s="219">
        <v>1.0</v>
      </c>
    </row>
    <row r="116" ht="15.75" customHeight="1">
      <c r="A116" s="276">
        <v>91.0</v>
      </c>
      <c r="B116" s="218" t="s">
        <v>1865</v>
      </c>
      <c r="C116" s="277" t="s">
        <v>1866</v>
      </c>
      <c r="D116" s="226" t="s">
        <v>1867</v>
      </c>
      <c r="E116" s="278">
        <v>2.7630346E7</v>
      </c>
      <c r="F116" s="218">
        <v>4.0</v>
      </c>
      <c r="G116" s="219">
        <v>4.0</v>
      </c>
      <c r="H116" s="217">
        <v>2.0</v>
      </c>
      <c r="I116" s="218">
        <v>3.0</v>
      </c>
      <c r="J116" s="217">
        <v>3.0</v>
      </c>
      <c r="K116" s="218">
        <v>5.0</v>
      </c>
      <c r="L116" s="217">
        <v>5.0</v>
      </c>
      <c r="M116" s="218">
        <v>1.0</v>
      </c>
      <c r="N116" s="219">
        <v>1.0</v>
      </c>
    </row>
    <row r="117" ht="15.75" customHeight="1">
      <c r="A117" s="276">
        <v>92.0</v>
      </c>
      <c r="B117" s="225" t="s">
        <v>1011</v>
      </c>
      <c r="C117" s="279" t="s">
        <v>1868</v>
      </c>
      <c r="D117" s="280" t="s">
        <v>1071</v>
      </c>
      <c r="E117" s="281">
        <v>2.4374895E7</v>
      </c>
      <c r="F117" s="282">
        <v>4.0</v>
      </c>
      <c r="G117" s="226">
        <v>4.0</v>
      </c>
      <c r="H117" s="224">
        <v>2.0</v>
      </c>
      <c r="I117" s="225">
        <v>3.0</v>
      </c>
      <c r="J117" s="224">
        <v>3.0</v>
      </c>
      <c r="K117" s="225">
        <v>5.0</v>
      </c>
      <c r="L117" s="224">
        <v>5.0</v>
      </c>
      <c r="M117" s="225">
        <v>1.0</v>
      </c>
      <c r="N117" s="226">
        <v>1.0</v>
      </c>
    </row>
    <row r="118" ht="15.75" customHeight="1">
      <c r="A118" s="283"/>
      <c r="B118" s="106"/>
      <c r="C118" s="107"/>
      <c r="D118" s="284"/>
      <c r="E118" s="285"/>
      <c r="F118" s="286">
        <f t="shared" ref="F118:N118" si="1">SUM(F26:F117)</f>
        <v>372</v>
      </c>
      <c r="G118" s="286">
        <f t="shared" si="1"/>
        <v>372</v>
      </c>
      <c r="H118" s="286">
        <f t="shared" si="1"/>
        <v>186</v>
      </c>
      <c r="I118" s="286">
        <f t="shared" si="1"/>
        <v>279</v>
      </c>
      <c r="J118" s="286">
        <f t="shared" si="1"/>
        <v>279</v>
      </c>
      <c r="K118" s="286">
        <f t="shared" si="1"/>
        <v>465</v>
      </c>
      <c r="L118" s="286">
        <f t="shared" si="1"/>
        <v>465</v>
      </c>
      <c r="M118" s="286">
        <f t="shared" si="1"/>
        <v>93</v>
      </c>
      <c r="N118" s="287">
        <f t="shared" si="1"/>
        <v>93</v>
      </c>
    </row>
    <row r="119" ht="15.75" customHeight="1">
      <c r="A119" s="197"/>
      <c r="B119" s="197"/>
      <c r="C119" s="288"/>
      <c r="D119" s="197"/>
      <c r="E119" s="289"/>
      <c r="F119" s="197"/>
      <c r="G119" s="197"/>
      <c r="H119" s="197"/>
      <c r="I119" s="197"/>
      <c r="J119" s="197"/>
      <c r="K119" s="197"/>
      <c r="L119" s="197"/>
      <c r="M119" s="197"/>
      <c r="N119" s="197"/>
    </row>
    <row r="120" ht="15.75" customHeight="1">
      <c r="A120" s="186" t="s">
        <v>1566</v>
      </c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1"/>
    </row>
    <row r="121" ht="15.75" customHeight="1">
      <c r="A121" s="243" t="s">
        <v>1869</v>
      </c>
      <c r="B121" s="290" t="s">
        <v>1870</v>
      </c>
      <c r="C121" s="203" t="s">
        <v>1677</v>
      </c>
      <c r="D121" s="203" t="s">
        <v>578</v>
      </c>
      <c r="E121" s="291" t="s">
        <v>579</v>
      </c>
      <c r="F121" s="292" t="s">
        <v>1679</v>
      </c>
      <c r="G121" s="293" t="s">
        <v>1871</v>
      </c>
      <c r="H121" s="292" t="s">
        <v>1872</v>
      </c>
      <c r="I121" s="293" t="s">
        <v>1682</v>
      </c>
      <c r="J121" s="292" t="s">
        <v>1683</v>
      </c>
      <c r="K121" s="293" t="s">
        <v>1684</v>
      </c>
      <c r="L121" s="292" t="s">
        <v>1685</v>
      </c>
      <c r="M121" s="293" t="s">
        <v>1686</v>
      </c>
      <c r="N121" s="292" t="s">
        <v>1687</v>
      </c>
    </row>
    <row r="122" ht="15.75" customHeight="1">
      <c r="A122" s="294"/>
      <c r="B122" s="295"/>
      <c r="C122" s="294"/>
      <c r="D122" s="294"/>
      <c r="E122" s="295"/>
      <c r="F122" s="294"/>
      <c r="G122" s="295"/>
      <c r="H122" s="294"/>
      <c r="I122" s="295"/>
      <c r="J122" s="294"/>
      <c r="K122" s="295"/>
      <c r="L122" s="294"/>
      <c r="M122" s="295"/>
      <c r="N122" s="294"/>
    </row>
    <row r="123" ht="15.75" customHeight="1">
      <c r="A123" s="296">
        <v>1.0</v>
      </c>
      <c r="B123" s="248" t="s">
        <v>184</v>
      </c>
      <c r="C123" s="297" t="s">
        <v>1873</v>
      </c>
      <c r="D123" s="248" t="s">
        <v>1874</v>
      </c>
      <c r="E123" s="237">
        <v>1.7248029E7</v>
      </c>
      <c r="F123" s="230">
        <v>4.0</v>
      </c>
      <c r="G123" s="231">
        <v>4.0</v>
      </c>
      <c r="H123" s="230">
        <v>2.0</v>
      </c>
      <c r="I123" s="231">
        <v>3.0</v>
      </c>
      <c r="J123" s="230">
        <v>3.0</v>
      </c>
      <c r="K123" s="231">
        <v>5.0</v>
      </c>
      <c r="L123" s="230">
        <v>5.0</v>
      </c>
      <c r="M123" s="231">
        <v>1.0</v>
      </c>
      <c r="N123" s="230">
        <v>1.0</v>
      </c>
    </row>
    <row r="124" ht="15.75" customHeight="1">
      <c r="A124" s="271">
        <v>2.0</v>
      </c>
      <c r="B124" s="250" t="s">
        <v>1268</v>
      </c>
      <c r="C124" s="298" t="s">
        <v>1875</v>
      </c>
      <c r="D124" s="250" t="s">
        <v>1876</v>
      </c>
      <c r="E124" s="214">
        <v>2.0676211E7</v>
      </c>
      <c r="F124" s="218">
        <v>4.0</v>
      </c>
      <c r="G124" s="217">
        <v>4.0</v>
      </c>
      <c r="H124" s="218">
        <v>2.0</v>
      </c>
      <c r="I124" s="217">
        <v>3.0</v>
      </c>
      <c r="J124" s="218">
        <v>3.0</v>
      </c>
      <c r="K124" s="217">
        <v>5.0</v>
      </c>
      <c r="L124" s="218">
        <v>5.0</v>
      </c>
      <c r="M124" s="217">
        <v>1.0</v>
      </c>
      <c r="N124" s="218">
        <v>1.0</v>
      </c>
    </row>
    <row r="125" ht="15.75" customHeight="1">
      <c r="A125" s="271">
        <v>3.0</v>
      </c>
      <c r="B125" s="250" t="s">
        <v>1281</v>
      </c>
      <c r="C125" s="298" t="s">
        <v>1877</v>
      </c>
      <c r="D125" s="250" t="s">
        <v>1878</v>
      </c>
      <c r="E125" s="214">
        <v>3.2762093E7</v>
      </c>
      <c r="F125" s="218">
        <v>4.0</v>
      </c>
      <c r="G125" s="217">
        <v>4.0</v>
      </c>
      <c r="H125" s="218">
        <v>2.0</v>
      </c>
      <c r="I125" s="217">
        <v>3.0</v>
      </c>
      <c r="J125" s="218">
        <v>3.0</v>
      </c>
      <c r="K125" s="217">
        <v>5.0</v>
      </c>
      <c r="L125" s="218">
        <v>5.0</v>
      </c>
      <c r="M125" s="217">
        <v>1.0</v>
      </c>
      <c r="N125" s="218">
        <v>1.0</v>
      </c>
    </row>
    <row r="126" ht="15.75" customHeight="1">
      <c r="A126" s="271">
        <v>4.0</v>
      </c>
      <c r="B126" s="250" t="s">
        <v>1293</v>
      </c>
      <c r="C126" s="299" t="s">
        <v>1879</v>
      </c>
      <c r="D126" s="250" t="s">
        <v>1880</v>
      </c>
      <c r="E126" s="214">
        <v>1.8901634E7</v>
      </c>
      <c r="F126" s="218">
        <v>4.0</v>
      </c>
      <c r="G126" s="217">
        <v>4.0</v>
      </c>
      <c r="H126" s="218">
        <v>2.0</v>
      </c>
      <c r="I126" s="217">
        <v>3.0</v>
      </c>
      <c r="J126" s="218">
        <v>3.0</v>
      </c>
      <c r="K126" s="217">
        <v>5.0</v>
      </c>
      <c r="L126" s="218">
        <v>5.0</v>
      </c>
      <c r="M126" s="217">
        <v>1.0</v>
      </c>
      <c r="N126" s="218">
        <v>1.0</v>
      </c>
    </row>
    <row r="127" ht="15.75" customHeight="1">
      <c r="A127" s="271">
        <v>5.0</v>
      </c>
      <c r="B127" s="250" t="s">
        <v>1304</v>
      </c>
      <c r="C127" s="298" t="s">
        <v>1881</v>
      </c>
      <c r="D127" s="250" t="s">
        <v>1882</v>
      </c>
      <c r="E127" s="273">
        <v>4865171.0</v>
      </c>
      <c r="F127" s="218">
        <v>4.0</v>
      </c>
      <c r="G127" s="217">
        <v>4.0</v>
      </c>
      <c r="H127" s="218">
        <v>2.0</v>
      </c>
      <c r="I127" s="217">
        <v>3.0</v>
      </c>
      <c r="J127" s="218">
        <v>3.0</v>
      </c>
      <c r="K127" s="217">
        <v>5.0</v>
      </c>
      <c r="L127" s="218">
        <v>5.0</v>
      </c>
      <c r="M127" s="217">
        <v>1.0</v>
      </c>
      <c r="N127" s="218">
        <v>1.0</v>
      </c>
    </row>
    <row r="128" ht="15.75" customHeight="1">
      <c r="A128" s="271">
        <v>6.0</v>
      </c>
      <c r="B128" s="250" t="s">
        <v>1865</v>
      </c>
      <c r="C128" s="300" t="s">
        <v>1883</v>
      </c>
      <c r="D128" s="268" t="s">
        <v>1884</v>
      </c>
      <c r="E128" s="273">
        <v>1.8475509E7</v>
      </c>
      <c r="F128" s="218">
        <v>4.0</v>
      </c>
      <c r="G128" s="217">
        <v>4.0</v>
      </c>
      <c r="H128" s="218">
        <v>2.0</v>
      </c>
      <c r="I128" s="217">
        <v>3.0</v>
      </c>
      <c r="J128" s="218">
        <v>3.0</v>
      </c>
      <c r="K128" s="217">
        <v>5.0</v>
      </c>
      <c r="L128" s="218">
        <v>5.0</v>
      </c>
      <c r="M128" s="217">
        <v>1.0</v>
      </c>
      <c r="N128" s="218">
        <v>1.0</v>
      </c>
    </row>
    <row r="129" ht="15.75" customHeight="1">
      <c r="A129" s="271">
        <v>7.0</v>
      </c>
      <c r="B129" s="250" t="s">
        <v>1335</v>
      </c>
      <c r="C129" s="299" t="s">
        <v>1885</v>
      </c>
      <c r="D129" s="250" t="s">
        <v>1886</v>
      </c>
      <c r="E129" s="273">
        <v>5665904.0</v>
      </c>
      <c r="F129" s="218">
        <v>4.0</v>
      </c>
      <c r="G129" s="217">
        <v>4.0</v>
      </c>
      <c r="H129" s="218">
        <v>2.0</v>
      </c>
      <c r="I129" s="217">
        <v>3.0</v>
      </c>
      <c r="J129" s="218">
        <v>3.0</v>
      </c>
      <c r="K129" s="217">
        <v>5.0</v>
      </c>
      <c r="L129" s="218">
        <v>5.0</v>
      </c>
      <c r="M129" s="217">
        <v>1.0</v>
      </c>
      <c r="N129" s="218">
        <v>1.0</v>
      </c>
    </row>
    <row r="130" ht="15.75" customHeight="1">
      <c r="A130" s="271">
        <v>8.0</v>
      </c>
      <c r="B130" s="250" t="s">
        <v>1865</v>
      </c>
      <c r="C130" s="298" t="s">
        <v>1887</v>
      </c>
      <c r="D130" s="250" t="s">
        <v>1888</v>
      </c>
      <c r="E130" s="273">
        <v>1.1984049E7</v>
      </c>
      <c r="F130" s="218">
        <v>4.0</v>
      </c>
      <c r="G130" s="217">
        <v>4.0</v>
      </c>
      <c r="H130" s="218">
        <v>2.0</v>
      </c>
      <c r="I130" s="217">
        <v>3.0</v>
      </c>
      <c r="J130" s="218">
        <v>3.0</v>
      </c>
      <c r="K130" s="217">
        <v>5.0</v>
      </c>
      <c r="L130" s="218">
        <v>5.0</v>
      </c>
      <c r="M130" s="217">
        <v>1.0</v>
      </c>
      <c r="N130" s="218">
        <v>1.0</v>
      </c>
    </row>
    <row r="131" ht="15.75" customHeight="1">
      <c r="A131" s="271">
        <v>9.0</v>
      </c>
      <c r="B131" s="250" t="s">
        <v>1360</v>
      </c>
      <c r="C131" s="298" t="s">
        <v>1889</v>
      </c>
      <c r="D131" s="250" t="s">
        <v>1890</v>
      </c>
      <c r="E131" s="273">
        <v>3.0518438E7</v>
      </c>
      <c r="F131" s="218">
        <v>4.0</v>
      </c>
      <c r="G131" s="217">
        <v>4.0</v>
      </c>
      <c r="H131" s="218">
        <v>2.0</v>
      </c>
      <c r="I131" s="217">
        <v>3.0</v>
      </c>
      <c r="J131" s="218">
        <v>3.0</v>
      </c>
      <c r="K131" s="217">
        <v>5.0</v>
      </c>
      <c r="L131" s="218">
        <v>5.0</v>
      </c>
      <c r="M131" s="217">
        <v>1.0</v>
      </c>
      <c r="N131" s="218">
        <v>1.0</v>
      </c>
    </row>
    <row r="132" ht="15.75" customHeight="1">
      <c r="A132" s="271">
        <v>10.0</v>
      </c>
      <c r="B132" s="250" t="s">
        <v>1366</v>
      </c>
      <c r="C132" s="299" t="s">
        <v>1891</v>
      </c>
      <c r="D132" s="250" t="s">
        <v>1892</v>
      </c>
      <c r="E132" s="214">
        <v>2.2640438E7</v>
      </c>
      <c r="F132" s="218">
        <v>4.0</v>
      </c>
      <c r="G132" s="217">
        <v>4.0</v>
      </c>
      <c r="H132" s="218">
        <v>2.0</v>
      </c>
      <c r="I132" s="217">
        <v>3.0</v>
      </c>
      <c r="J132" s="218">
        <v>3.0</v>
      </c>
      <c r="K132" s="217">
        <v>5.0</v>
      </c>
      <c r="L132" s="218">
        <v>5.0</v>
      </c>
      <c r="M132" s="217">
        <v>1.0</v>
      </c>
      <c r="N132" s="218">
        <v>1.0</v>
      </c>
    </row>
    <row r="133" ht="15.75" customHeight="1">
      <c r="A133" s="271">
        <v>11.0</v>
      </c>
      <c r="B133" s="250" t="s">
        <v>1378</v>
      </c>
      <c r="C133" s="299" t="s">
        <v>1893</v>
      </c>
      <c r="D133" s="250" t="s">
        <v>1894</v>
      </c>
      <c r="E133" s="214">
        <v>1.2319853E7</v>
      </c>
      <c r="F133" s="218">
        <v>4.0</v>
      </c>
      <c r="G133" s="217">
        <v>4.0</v>
      </c>
      <c r="H133" s="218">
        <v>2.0</v>
      </c>
      <c r="I133" s="217">
        <v>3.0</v>
      </c>
      <c r="J133" s="218">
        <v>3.0</v>
      </c>
      <c r="K133" s="217">
        <v>5.0</v>
      </c>
      <c r="L133" s="218">
        <v>5.0</v>
      </c>
      <c r="M133" s="217">
        <v>1.0</v>
      </c>
      <c r="N133" s="218">
        <v>1.0</v>
      </c>
    </row>
    <row r="134" ht="15.75" customHeight="1">
      <c r="A134" s="271">
        <v>12.0</v>
      </c>
      <c r="B134" s="250" t="s">
        <v>1384</v>
      </c>
      <c r="C134" s="299" t="s">
        <v>1895</v>
      </c>
      <c r="D134" s="218" t="s">
        <v>1896</v>
      </c>
      <c r="E134" s="301">
        <v>2.3948174E7</v>
      </c>
      <c r="F134" s="218">
        <v>4.0</v>
      </c>
      <c r="G134" s="217">
        <v>4.0</v>
      </c>
      <c r="H134" s="218">
        <v>2.0</v>
      </c>
      <c r="I134" s="217">
        <v>3.0</v>
      </c>
      <c r="J134" s="218">
        <v>3.0</v>
      </c>
      <c r="K134" s="217">
        <v>5.0</v>
      </c>
      <c r="L134" s="218">
        <v>5.0</v>
      </c>
      <c r="M134" s="217">
        <v>1.0</v>
      </c>
      <c r="N134" s="218">
        <v>1.0</v>
      </c>
    </row>
    <row r="135" ht="15.75" customHeight="1">
      <c r="A135" s="271">
        <v>13.0</v>
      </c>
      <c r="B135" s="250" t="s">
        <v>1396</v>
      </c>
      <c r="C135" s="299" t="s">
        <v>1897</v>
      </c>
      <c r="D135" s="250" t="s">
        <v>1898</v>
      </c>
      <c r="E135" s="214">
        <v>2.2019197E7</v>
      </c>
      <c r="F135" s="218">
        <v>4.0</v>
      </c>
      <c r="G135" s="217">
        <v>4.0</v>
      </c>
      <c r="H135" s="218">
        <v>2.0</v>
      </c>
      <c r="I135" s="217">
        <v>3.0</v>
      </c>
      <c r="J135" s="218">
        <v>3.0</v>
      </c>
      <c r="K135" s="217">
        <v>5.0</v>
      </c>
      <c r="L135" s="218">
        <v>5.0</v>
      </c>
      <c r="M135" s="217">
        <v>1.0</v>
      </c>
      <c r="N135" s="218">
        <v>1.0</v>
      </c>
    </row>
    <row r="136" ht="15.75" customHeight="1">
      <c r="A136" s="271">
        <v>14.0</v>
      </c>
      <c r="B136" s="250" t="s">
        <v>1409</v>
      </c>
      <c r="C136" s="299" t="s">
        <v>1899</v>
      </c>
      <c r="D136" s="250" t="s">
        <v>1900</v>
      </c>
      <c r="E136" s="214">
        <v>1.1331069E7</v>
      </c>
      <c r="F136" s="218">
        <v>4.0</v>
      </c>
      <c r="G136" s="217">
        <v>4.0</v>
      </c>
      <c r="H136" s="218">
        <v>2.0</v>
      </c>
      <c r="I136" s="217">
        <v>3.0</v>
      </c>
      <c r="J136" s="218">
        <v>3.0</v>
      </c>
      <c r="K136" s="217">
        <v>5.0</v>
      </c>
      <c r="L136" s="218">
        <v>5.0</v>
      </c>
      <c r="M136" s="217">
        <v>1.0</v>
      </c>
      <c r="N136" s="218">
        <v>1.0</v>
      </c>
    </row>
    <row r="137" ht="15.75" customHeight="1">
      <c r="A137" s="271">
        <v>15.0</v>
      </c>
      <c r="B137" s="250" t="s">
        <v>1416</v>
      </c>
      <c r="C137" s="299" t="s">
        <v>1901</v>
      </c>
      <c r="D137" s="250" t="s">
        <v>1902</v>
      </c>
      <c r="E137" s="214">
        <v>2.0090551E7</v>
      </c>
      <c r="F137" s="218">
        <v>4.0</v>
      </c>
      <c r="G137" s="217">
        <v>4.0</v>
      </c>
      <c r="H137" s="218">
        <v>2.0</v>
      </c>
      <c r="I137" s="217">
        <v>3.0</v>
      </c>
      <c r="J137" s="218">
        <v>3.0</v>
      </c>
      <c r="K137" s="217">
        <v>5.0</v>
      </c>
      <c r="L137" s="218">
        <v>5.0</v>
      </c>
      <c r="M137" s="217">
        <v>1.0</v>
      </c>
      <c r="N137" s="218">
        <v>1.0</v>
      </c>
    </row>
    <row r="138" ht="15.75" customHeight="1">
      <c r="A138" s="271">
        <v>16.0</v>
      </c>
      <c r="B138" s="250" t="s">
        <v>1429</v>
      </c>
      <c r="C138" s="299" t="s">
        <v>1903</v>
      </c>
      <c r="D138" s="250" t="s">
        <v>1904</v>
      </c>
      <c r="E138" s="214">
        <v>2.6842405E7</v>
      </c>
      <c r="F138" s="218">
        <v>4.0</v>
      </c>
      <c r="G138" s="217">
        <v>4.0</v>
      </c>
      <c r="H138" s="218">
        <v>2.0</v>
      </c>
      <c r="I138" s="217">
        <v>3.0</v>
      </c>
      <c r="J138" s="218">
        <v>3.0</v>
      </c>
      <c r="K138" s="217">
        <v>5.0</v>
      </c>
      <c r="L138" s="218">
        <v>5.0</v>
      </c>
      <c r="M138" s="217">
        <v>1.0</v>
      </c>
      <c r="N138" s="218">
        <v>1.0</v>
      </c>
    </row>
    <row r="139" ht="15.75" customHeight="1">
      <c r="A139" s="271">
        <v>17.0</v>
      </c>
      <c r="B139" s="250" t="s">
        <v>1441</v>
      </c>
      <c r="C139" s="299" t="s">
        <v>1905</v>
      </c>
      <c r="D139" s="250" t="s">
        <v>1906</v>
      </c>
      <c r="E139" s="273">
        <v>3.8879917E7</v>
      </c>
      <c r="F139" s="218">
        <v>4.0</v>
      </c>
      <c r="G139" s="217">
        <v>4.0</v>
      </c>
      <c r="H139" s="218">
        <v>2.0</v>
      </c>
      <c r="I139" s="217">
        <v>3.0</v>
      </c>
      <c r="J139" s="218">
        <v>3.0</v>
      </c>
      <c r="K139" s="217">
        <v>5.0</v>
      </c>
      <c r="L139" s="218">
        <v>5.0</v>
      </c>
      <c r="M139" s="217">
        <v>1.0</v>
      </c>
      <c r="N139" s="218">
        <v>1.0</v>
      </c>
    </row>
    <row r="140" ht="15.75" customHeight="1">
      <c r="A140" s="271">
        <v>18.0</v>
      </c>
      <c r="B140" s="250" t="s">
        <v>1865</v>
      </c>
      <c r="C140" s="299" t="s">
        <v>1907</v>
      </c>
      <c r="D140" s="250" t="s">
        <v>1908</v>
      </c>
      <c r="E140" s="273">
        <v>1.3637112E7</v>
      </c>
      <c r="F140" s="218">
        <v>4.0</v>
      </c>
      <c r="G140" s="217">
        <v>4.0</v>
      </c>
      <c r="H140" s="218">
        <v>2.0</v>
      </c>
      <c r="I140" s="217">
        <v>3.0</v>
      </c>
      <c r="J140" s="218">
        <v>3.0</v>
      </c>
      <c r="K140" s="217">
        <v>5.0</v>
      </c>
      <c r="L140" s="218">
        <v>5.0</v>
      </c>
      <c r="M140" s="217">
        <v>1.0</v>
      </c>
      <c r="N140" s="218">
        <v>1.0</v>
      </c>
    </row>
    <row r="141" ht="15.75" customHeight="1">
      <c r="A141" s="271">
        <v>19.0</v>
      </c>
      <c r="B141" s="250" t="s">
        <v>1221</v>
      </c>
      <c r="C141" s="299" t="s">
        <v>1909</v>
      </c>
      <c r="D141" s="250" t="s">
        <v>1910</v>
      </c>
      <c r="E141" s="273">
        <v>1.2867686E7</v>
      </c>
      <c r="F141" s="218">
        <v>4.0</v>
      </c>
      <c r="G141" s="217">
        <v>4.0</v>
      </c>
      <c r="H141" s="218">
        <v>2.0</v>
      </c>
      <c r="I141" s="217">
        <v>3.0</v>
      </c>
      <c r="J141" s="218">
        <v>3.0</v>
      </c>
      <c r="K141" s="217">
        <v>5.0</v>
      </c>
      <c r="L141" s="218">
        <v>5.0</v>
      </c>
      <c r="M141" s="217">
        <v>1.0</v>
      </c>
      <c r="N141" s="218">
        <v>1.0</v>
      </c>
    </row>
    <row r="142" ht="15.75" customHeight="1">
      <c r="A142" s="271">
        <v>20.0</v>
      </c>
      <c r="B142" s="250" t="s">
        <v>1233</v>
      </c>
      <c r="C142" s="299" t="s">
        <v>1911</v>
      </c>
      <c r="D142" s="250" t="s">
        <v>1912</v>
      </c>
      <c r="E142" s="273">
        <v>2.6504754E7</v>
      </c>
      <c r="F142" s="218">
        <v>4.0</v>
      </c>
      <c r="G142" s="217">
        <v>4.0</v>
      </c>
      <c r="H142" s="218">
        <v>2.0</v>
      </c>
      <c r="I142" s="217">
        <v>3.0</v>
      </c>
      <c r="J142" s="218">
        <v>3.0</v>
      </c>
      <c r="K142" s="217">
        <v>5.0</v>
      </c>
      <c r="L142" s="218">
        <v>5.0</v>
      </c>
      <c r="M142" s="217">
        <v>1.0</v>
      </c>
      <c r="N142" s="218">
        <v>1.0</v>
      </c>
    </row>
    <row r="143" ht="15.75" customHeight="1">
      <c r="A143" s="271">
        <v>21.0</v>
      </c>
      <c r="B143" s="250" t="s">
        <v>1261</v>
      </c>
      <c r="C143" s="299" t="s">
        <v>1913</v>
      </c>
      <c r="D143" s="250" t="s">
        <v>1914</v>
      </c>
      <c r="E143" s="273">
        <v>1.6625468E7</v>
      </c>
      <c r="F143" s="218">
        <v>4.0</v>
      </c>
      <c r="G143" s="217">
        <v>4.0</v>
      </c>
      <c r="H143" s="218">
        <v>2.0</v>
      </c>
      <c r="I143" s="217">
        <v>3.0</v>
      </c>
      <c r="J143" s="218">
        <v>3.0</v>
      </c>
      <c r="K143" s="217">
        <v>5.0</v>
      </c>
      <c r="L143" s="218">
        <v>5.0</v>
      </c>
      <c r="M143" s="217">
        <v>1.0</v>
      </c>
      <c r="N143" s="218">
        <v>1.0</v>
      </c>
    </row>
    <row r="144" ht="15.75" customHeight="1">
      <c r="A144" s="271">
        <v>22.0</v>
      </c>
      <c r="B144" s="250" t="s">
        <v>1274</v>
      </c>
      <c r="C144" s="299" t="s">
        <v>1915</v>
      </c>
      <c r="D144" s="218" t="s">
        <v>1916</v>
      </c>
      <c r="E144" s="273">
        <v>2.7332657E7</v>
      </c>
      <c r="F144" s="218">
        <v>4.0</v>
      </c>
      <c r="G144" s="217">
        <v>4.0</v>
      </c>
      <c r="H144" s="218">
        <v>2.0</v>
      </c>
      <c r="I144" s="217">
        <v>3.0</v>
      </c>
      <c r="J144" s="218">
        <v>3.0</v>
      </c>
      <c r="K144" s="217">
        <v>5.0</v>
      </c>
      <c r="L144" s="218">
        <v>5.0</v>
      </c>
      <c r="M144" s="217">
        <v>1.0</v>
      </c>
      <c r="N144" s="218">
        <v>1.0</v>
      </c>
    </row>
    <row r="145" ht="15.75" customHeight="1">
      <c r="A145" s="271">
        <v>23.0</v>
      </c>
      <c r="B145" s="250" t="s">
        <v>1287</v>
      </c>
      <c r="C145" s="299" t="s">
        <v>1917</v>
      </c>
      <c r="D145" s="250" t="s">
        <v>1918</v>
      </c>
      <c r="E145" s="273">
        <v>1.3249068E7</v>
      </c>
      <c r="F145" s="218">
        <v>4.0</v>
      </c>
      <c r="G145" s="217">
        <v>4.0</v>
      </c>
      <c r="H145" s="218">
        <v>2.0</v>
      </c>
      <c r="I145" s="217">
        <v>3.0</v>
      </c>
      <c r="J145" s="218">
        <v>3.0</v>
      </c>
      <c r="K145" s="217">
        <v>5.0</v>
      </c>
      <c r="L145" s="218">
        <v>5.0</v>
      </c>
      <c r="M145" s="217">
        <v>1.0</v>
      </c>
      <c r="N145" s="218">
        <v>1.0</v>
      </c>
    </row>
    <row r="146" ht="15.75" customHeight="1">
      <c r="A146" s="271">
        <v>24.0</v>
      </c>
      <c r="B146" s="302" t="s">
        <v>1245</v>
      </c>
      <c r="C146" s="303" t="s">
        <v>1246</v>
      </c>
      <c r="D146" s="93" t="s">
        <v>1248</v>
      </c>
      <c r="E146" s="80">
        <v>4.3930613E7</v>
      </c>
      <c r="F146" s="218">
        <v>4.0</v>
      </c>
      <c r="G146" s="217">
        <v>4.0</v>
      </c>
      <c r="H146" s="218">
        <v>2.0</v>
      </c>
      <c r="I146" s="217">
        <v>3.0</v>
      </c>
      <c r="J146" s="218">
        <v>3.0</v>
      </c>
      <c r="K146" s="217">
        <v>5.0</v>
      </c>
      <c r="L146" s="218">
        <v>5.0</v>
      </c>
      <c r="M146" s="217">
        <v>1.0</v>
      </c>
      <c r="N146" s="218">
        <v>1.0</v>
      </c>
    </row>
    <row r="147" ht="15.75" customHeight="1">
      <c r="A147" s="271">
        <v>25.0</v>
      </c>
      <c r="B147" s="250" t="s">
        <v>1299</v>
      </c>
      <c r="C147" s="299" t="s">
        <v>1919</v>
      </c>
      <c r="D147" s="93" t="s">
        <v>1301</v>
      </c>
      <c r="E147" s="80">
        <v>1.3611598E7</v>
      </c>
      <c r="F147" s="218">
        <v>4.0</v>
      </c>
      <c r="G147" s="217">
        <v>4.0</v>
      </c>
      <c r="H147" s="218">
        <v>2.0</v>
      </c>
      <c r="I147" s="217">
        <v>3.0</v>
      </c>
      <c r="J147" s="218">
        <v>3.0</v>
      </c>
      <c r="K147" s="217">
        <v>5.0</v>
      </c>
      <c r="L147" s="218">
        <v>5.0</v>
      </c>
      <c r="M147" s="217">
        <v>1.0</v>
      </c>
      <c r="N147" s="218">
        <v>1.0</v>
      </c>
    </row>
    <row r="148" ht="15.75" customHeight="1">
      <c r="A148" s="271">
        <v>26.0</v>
      </c>
      <c r="B148" s="250" t="s">
        <v>1329</v>
      </c>
      <c r="C148" s="299" t="s">
        <v>1920</v>
      </c>
      <c r="D148" s="250" t="s">
        <v>1921</v>
      </c>
      <c r="E148" s="273">
        <v>2.4937829E7</v>
      </c>
      <c r="F148" s="218">
        <v>4.0</v>
      </c>
      <c r="G148" s="217">
        <v>4.0</v>
      </c>
      <c r="H148" s="218">
        <v>2.0</v>
      </c>
      <c r="I148" s="217">
        <v>3.0</v>
      </c>
      <c r="J148" s="218">
        <v>3.0</v>
      </c>
      <c r="K148" s="217">
        <v>5.0</v>
      </c>
      <c r="L148" s="218">
        <v>5.0</v>
      </c>
      <c r="M148" s="217">
        <v>1.0</v>
      </c>
      <c r="N148" s="218">
        <v>1.0</v>
      </c>
    </row>
    <row r="149" ht="15.75" customHeight="1">
      <c r="A149" s="271">
        <v>27.0</v>
      </c>
      <c r="B149" s="250" t="s">
        <v>1353</v>
      </c>
      <c r="C149" s="299" t="s">
        <v>1922</v>
      </c>
      <c r="D149" s="250" t="s">
        <v>1923</v>
      </c>
      <c r="E149" s="273">
        <v>2.4107385E7</v>
      </c>
      <c r="F149" s="218">
        <v>4.0</v>
      </c>
      <c r="G149" s="217">
        <v>4.0</v>
      </c>
      <c r="H149" s="218">
        <v>2.0</v>
      </c>
      <c r="I149" s="217">
        <v>3.0</v>
      </c>
      <c r="J149" s="218">
        <v>3.0</v>
      </c>
      <c r="K149" s="217">
        <v>5.0</v>
      </c>
      <c r="L149" s="218">
        <v>5.0</v>
      </c>
      <c r="M149" s="217">
        <v>1.0</v>
      </c>
      <c r="N149" s="218">
        <v>1.0</v>
      </c>
    </row>
    <row r="150" ht="15.75" customHeight="1">
      <c r="A150" s="271">
        <v>28.0</v>
      </c>
      <c r="B150" s="250" t="s">
        <v>1372</v>
      </c>
      <c r="C150" s="299" t="s">
        <v>1924</v>
      </c>
      <c r="D150" s="250" t="s">
        <v>1375</v>
      </c>
      <c r="E150" s="273">
        <v>2.8903647E7</v>
      </c>
      <c r="F150" s="218">
        <v>4.0</v>
      </c>
      <c r="G150" s="217">
        <v>4.0</v>
      </c>
      <c r="H150" s="218">
        <v>2.0</v>
      </c>
      <c r="I150" s="217">
        <v>3.0</v>
      </c>
      <c r="J150" s="218">
        <v>3.0</v>
      </c>
      <c r="K150" s="217">
        <v>5.0</v>
      </c>
      <c r="L150" s="218">
        <v>5.0</v>
      </c>
      <c r="M150" s="217">
        <v>1.0</v>
      </c>
      <c r="N150" s="218">
        <v>1.0</v>
      </c>
    </row>
    <row r="151" ht="15.75" customHeight="1">
      <c r="A151" s="271">
        <v>29.0</v>
      </c>
      <c r="B151" s="250" t="s">
        <v>1390</v>
      </c>
      <c r="C151" s="299" t="s">
        <v>1925</v>
      </c>
      <c r="D151" s="250" t="s">
        <v>1926</v>
      </c>
      <c r="E151" s="273">
        <v>3.1848412E7</v>
      </c>
      <c r="F151" s="218">
        <v>4.0</v>
      </c>
      <c r="G151" s="217">
        <v>4.0</v>
      </c>
      <c r="H151" s="218">
        <v>2.0</v>
      </c>
      <c r="I151" s="217">
        <v>3.0</v>
      </c>
      <c r="J151" s="218">
        <v>3.0</v>
      </c>
      <c r="K151" s="217">
        <v>5.0</v>
      </c>
      <c r="L151" s="218">
        <v>5.0</v>
      </c>
      <c r="M151" s="217">
        <v>1.0</v>
      </c>
      <c r="N151" s="218">
        <v>1.0</v>
      </c>
    </row>
    <row r="152" ht="15.75" customHeight="1">
      <c r="A152" s="271">
        <v>30.0</v>
      </c>
      <c r="B152" s="250" t="s">
        <v>1403</v>
      </c>
      <c r="C152" s="299" t="s">
        <v>1927</v>
      </c>
      <c r="D152" s="250" t="s">
        <v>1928</v>
      </c>
      <c r="E152" s="273">
        <v>9.4693164E7</v>
      </c>
      <c r="F152" s="218">
        <v>4.0</v>
      </c>
      <c r="G152" s="217">
        <v>4.0</v>
      </c>
      <c r="H152" s="218">
        <v>2.0</v>
      </c>
      <c r="I152" s="217">
        <v>3.0</v>
      </c>
      <c r="J152" s="218">
        <v>3.0</v>
      </c>
      <c r="K152" s="217">
        <v>5.0</v>
      </c>
      <c r="L152" s="218">
        <v>5.0</v>
      </c>
      <c r="M152" s="217">
        <v>1.0</v>
      </c>
      <c r="N152" s="218">
        <v>1.0</v>
      </c>
    </row>
    <row r="153" ht="15.75" customHeight="1">
      <c r="A153" s="271">
        <v>31.0</v>
      </c>
      <c r="B153" s="250" t="s">
        <v>1435</v>
      </c>
      <c r="C153" s="299" t="s">
        <v>1929</v>
      </c>
      <c r="D153" s="304" t="s">
        <v>1930</v>
      </c>
      <c r="E153" s="273">
        <v>2.6680827E7</v>
      </c>
      <c r="F153" s="218">
        <v>4.0</v>
      </c>
      <c r="G153" s="217">
        <v>4.0</v>
      </c>
      <c r="H153" s="218">
        <v>2.0</v>
      </c>
      <c r="I153" s="217">
        <v>3.0</v>
      </c>
      <c r="J153" s="218">
        <v>3.0</v>
      </c>
      <c r="K153" s="217">
        <v>5.0</v>
      </c>
      <c r="L153" s="218">
        <v>5.0</v>
      </c>
      <c r="M153" s="217">
        <v>1.0</v>
      </c>
      <c r="N153" s="218">
        <v>1.0</v>
      </c>
    </row>
    <row r="154" ht="15.75" customHeight="1">
      <c r="A154" s="271">
        <v>32.0</v>
      </c>
      <c r="B154" s="268" t="s">
        <v>1011</v>
      </c>
      <c r="C154" s="300" t="s">
        <v>1931</v>
      </c>
      <c r="D154" s="218" t="s">
        <v>1932</v>
      </c>
      <c r="E154" s="273">
        <v>3.9196666E7</v>
      </c>
      <c r="F154" s="218">
        <v>4.0</v>
      </c>
      <c r="G154" s="217">
        <v>4.0</v>
      </c>
      <c r="H154" s="218">
        <v>2.0</v>
      </c>
      <c r="I154" s="217">
        <v>3.0</v>
      </c>
      <c r="J154" s="218">
        <v>3.0</v>
      </c>
      <c r="K154" s="217">
        <v>5.0</v>
      </c>
      <c r="L154" s="218">
        <v>5.0</v>
      </c>
      <c r="M154" s="217">
        <v>1.0</v>
      </c>
      <c r="N154" s="218">
        <v>1.0</v>
      </c>
    </row>
    <row r="155" ht="15.75" customHeight="1">
      <c r="A155" s="271">
        <v>33.0</v>
      </c>
      <c r="B155" s="250" t="s">
        <v>1011</v>
      </c>
      <c r="C155" s="299" t="s">
        <v>1933</v>
      </c>
      <c r="D155" s="250" t="s">
        <v>1934</v>
      </c>
      <c r="E155" s="273">
        <v>5304001.0</v>
      </c>
      <c r="F155" s="218">
        <v>4.0</v>
      </c>
      <c r="G155" s="217">
        <v>4.0</v>
      </c>
      <c r="H155" s="218">
        <v>2.0</v>
      </c>
      <c r="I155" s="217">
        <v>3.0</v>
      </c>
      <c r="J155" s="218">
        <v>3.0</v>
      </c>
      <c r="K155" s="217">
        <v>5.0</v>
      </c>
      <c r="L155" s="218">
        <v>5.0</v>
      </c>
      <c r="M155" s="217">
        <v>1.0</v>
      </c>
      <c r="N155" s="218">
        <v>1.0</v>
      </c>
    </row>
    <row r="156" ht="15.75" customHeight="1">
      <c r="A156" s="271">
        <v>34.0</v>
      </c>
      <c r="B156" s="250">
        <v>21.0</v>
      </c>
      <c r="C156" s="299" t="s">
        <v>1935</v>
      </c>
      <c r="D156" s="250" t="s">
        <v>1936</v>
      </c>
      <c r="E156" s="273">
        <v>2.5738145E7</v>
      </c>
      <c r="F156" s="218">
        <v>4.0</v>
      </c>
      <c r="G156" s="217">
        <v>4.0</v>
      </c>
      <c r="H156" s="218">
        <v>2.0</v>
      </c>
      <c r="I156" s="217">
        <v>3.0</v>
      </c>
      <c r="J156" s="218">
        <v>3.0</v>
      </c>
      <c r="K156" s="217">
        <v>5.0</v>
      </c>
      <c r="L156" s="218">
        <v>5.0</v>
      </c>
      <c r="M156" s="217">
        <v>1.0</v>
      </c>
      <c r="N156" s="218">
        <v>1.0</v>
      </c>
    </row>
    <row r="157" ht="15.75" customHeight="1">
      <c r="A157" s="271">
        <v>35.0</v>
      </c>
      <c r="B157" s="250">
        <v>36.0</v>
      </c>
      <c r="C157" s="299" t="s">
        <v>1937</v>
      </c>
      <c r="D157" s="250" t="s">
        <v>1938</v>
      </c>
      <c r="E157" s="273">
        <v>1.7248215E7</v>
      </c>
      <c r="F157" s="218">
        <v>4.0</v>
      </c>
      <c r="G157" s="217">
        <v>4.0</v>
      </c>
      <c r="H157" s="218">
        <v>2.0</v>
      </c>
      <c r="I157" s="217">
        <v>3.0</v>
      </c>
      <c r="J157" s="218">
        <v>3.0</v>
      </c>
      <c r="K157" s="217">
        <v>5.0</v>
      </c>
      <c r="L157" s="218">
        <v>5.0</v>
      </c>
      <c r="M157" s="217">
        <v>1.0</v>
      </c>
      <c r="N157" s="218">
        <v>1.0</v>
      </c>
    </row>
    <row r="158" ht="15.75" customHeight="1">
      <c r="A158" s="271">
        <v>36.0</v>
      </c>
      <c r="B158" s="250">
        <v>41.0</v>
      </c>
      <c r="C158" s="299" t="s">
        <v>1939</v>
      </c>
      <c r="D158" s="250" t="s">
        <v>1940</v>
      </c>
      <c r="E158" s="273">
        <v>2.0090581E7</v>
      </c>
      <c r="F158" s="218">
        <v>4.0</v>
      </c>
      <c r="G158" s="217">
        <v>4.0</v>
      </c>
      <c r="H158" s="218">
        <v>2.0</v>
      </c>
      <c r="I158" s="217">
        <v>3.0</v>
      </c>
      <c r="J158" s="218">
        <v>3.0</v>
      </c>
      <c r="K158" s="217">
        <v>5.0</v>
      </c>
      <c r="L158" s="218">
        <v>5.0</v>
      </c>
      <c r="M158" s="217">
        <v>1.0</v>
      </c>
      <c r="N158" s="218">
        <v>1.0</v>
      </c>
    </row>
    <row r="159" ht="15.75" customHeight="1">
      <c r="A159" s="271">
        <v>37.0</v>
      </c>
      <c r="B159" s="250">
        <v>84.0</v>
      </c>
      <c r="C159" s="299" t="s">
        <v>1863</v>
      </c>
      <c r="D159" s="250" t="s">
        <v>1941</v>
      </c>
      <c r="E159" s="273">
        <v>2.0091118E7</v>
      </c>
      <c r="F159" s="218">
        <v>4.0</v>
      </c>
      <c r="G159" s="217">
        <v>4.0</v>
      </c>
      <c r="H159" s="218">
        <v>2.0</v>
      </c>
      <c r="I159" s="217">
        <v>3.0</v>
      </c>
      <c r="J159" s="218">
        <v>3.0</v>
      </c>
      <c r="K159" s="217">
        <v>5.0</v>
      </c>
      <c r="L159" s="218">
        <v>5.0</v>
      </c>
      <c r="M159" s="217">
        <v>1.0</v>
      </c>
      <c r="N159" s="218">
        <v>1.0</v>
      </c>
    </row>
    <row r="160" ht="15.75" customHeight="1">
      <c r="A160" s="271">
        <v>38.0</v>
      </c>
      <c r="B160" s="250">
        <v>85.0</v>
      </c>
      <c r="C160" s="299" t="s">
        <v>1942</v>
      </c>
      <c r="D160" s="250" t="s">
        <v>1943</v>
      </c>
      <c r="E160" s="273">
        <v>2.5052591E7</v>
      </c>
      <c r="F160" s="218">
        <v>4.0</v>
      </c>
      <c r="G160" s="217">
        <v>4.0</v>
      </c>
      <c r="H160" s="218">
        <v>2.0</v>
      </c>
      <c r="I160" s="217">
        <v>3.0</v>
      </c>
      <c r="J160" s="218">
        <v>3.0</v>
      </c>
      <c r="K160" s="217">
        <v>5.0</v>
      </c>
      <c r="L160" s="218">
        <v>5.0</v>
      </c>
      <c r="M160" s="217">
        <v>1.0</v>
      </c>
      <c r="N160" s="218">
        <v>1.0</v>
      </c>
    </row>
    <row r="161" ht="15.75" customHeight="1">
      <c r="A161" s="271">
        <v>39.0</v>
      </c>
      <c r="B161" s="250">
        <v>99.0</v>
      </c>
      <c r="C161" s="299" t="s">
        <v>1944</v>
      </c>
      <c r="D161" s="250" t="s">
        <v>1945</v>
      </c>
      <c r="E161" s="273">
        <v>2.9672016E7</v>
      </c>
      <c r="F161" s="218">
        <v>4.0</v>
      </c>
      <c r="G161" s="217">
        <v>4.0</v>
      </c>
      <c r="H161" s="218">
        <v>2.0</v>
      </c>
      <c r="I161" s="217">
        <v>3.0</v>
      </c>
      <c r="J161" s="218">
        <v>3.0</v>
      </c>
      <c r="K161" s="217">
        <v>5.0</v>
      </c>
      <c r="L161" s="218">
        <v>5.0</v>
      </c>
      <c r="M161" s="217">
        <v>1.0</v>
      </c>
      <c r="N161" s="218">
        <v>1.0</v>
      </c>
    </row>
    <row r="162" ht="15.75" customHeight="1">
      <c r="A162" s="271">
        <v>40.0</v>
      </c>
      <c r="B162" s="250">
        <v>100.0</v>
      </c>
      <c r="C162" s="299" t="s">
        <v>1946</v>
      </c>
      <c r="D162" s="250" t="s">
        <v>1947</v>
      </c>
      <c r="E162" s="273">
        <v>2.0266479E7</v>
      </c>
      <c r="F162" s="218">
        <v>4.0</v>
      </c>
      <c r="G162" s="217">
        <v>4.0</v>
      </c>
      <c r="H162" s="218">
        <v>2.0</v>
      </c>
      <c r="I162" s="217">
        <v>3.0</v>
      </c>
      <c r="J162" s="218">
        <v>3.0</v>
      </c>
      <c r="K162" s="217">
        <v>5.0</v>
      </c>
      <c r="L162" s="218">
        <v>5.0</v>
      </c>
      <c r="M162" s="217">
        <v>1.0</v>
      </c>
      <c r="N162" s="218">
        <v>1.0</v>
      </c>
    </row>
    <row r="163" ht="15.75" customHeight="1">
      <c r="A163" s="271">
        <v>41.0</v>
      </c>
      <c r="B163" s="250">
        <v>110.0</v>
      </c>
      <c r="C163" s="299" t="s">
        <v>1948</v>
      </c>
      <c r="D163" s="250" t="s">
        <v>1949</v>
      </c>
      <c r="E163" s="273">
        <v>3.4446348E7</v>
      </c>
      <c r="F163" s="218">
        <v>4.0</v>
      </c>
      <c r="G163" s="217">
        <v>4.0</v>
      </c>
      <c r="H163" s="218">
        <v>2.0</v>
      </c>
      <c r="I163" s="217">
        <v>3.0</v>
      </c>
      <c r="J163" s="218">
        <v>3.0</v>
      </c>
      <c r="K163" s="217">
        <v>5.0</v>
      </c>
      <c r="L163" s="218">
        <v>5.0</v>
      </c>
      <c r="M163" s="217">
        <v>1.0</v>
      </c>
      <c r="N163" s="218">
        <v>1.0</v>
      </c>
    </row>
    <row r="164" ht="15.75" customHeight="1">
      <c r="A164" s="271">
        <v>42.0</v>
      </c>
      <c r="B164" s="250" t="s">
        <v>1865</v>
      </c>
      <c r="C164" s="305" t="s">
        <v>1950</v>
      </c>
      <c r="D164" s="250" t="s">
        <v>1951</v>
      </c>
      <c r="E164" s="306">
        <v>2.7358221E7</v>
      </c>
      <c r="F164" s="218">
        <v>4.0</v>
      </c>
      <c r="G164" s="217">
        <v>4.0</v>
      </c>
      <c r="H164" s="218">
        <v>2.0</v>
      </c>
      <c r="I164" s="217">
        <v>3.0</v>
      </c>
      <c r="J164" s="218">
        <v>3.0</v>
      </c>
      <c r="K164" s="217">
        <v>5.0</v>
      </c>
      <c r="L164" s="218">
        <v>5.0</v>
      </c>
      <c r="M164" s="217">
        <v>1.0</v>
      </c>
      <c r="N164" s="218">
        <v>1.0</v>
      </c>
    </row>
    <row r="165" ht="15.75" customHeight="1">
      <c r="A165" s="271">
        <v>43.0</v>
      </c>
      <c r="B165" s="250" t="s">
        <v>1865</v>
      </c>
      <c r="C165" s="305" t="s">
        <v>1952</v>
      </c>
      <c r="D165" s="250" t="s">
        <v>1953</v>
      </c>
      <c r="E165" s="306">
        <v>2.4046917E7</v>
      </c>
      <c r="F165" s="218">
        <v>4.0</v>
      </c>
      <c r="G165" s="217">
        <v>4.0</v>
      </c>
      <c r="H165" s="218">
        <v>2.0</v>
      </c>
      <c r="I165" s="217">
        <v>3.0</v>
      </c>
      <c r="J165" s="218">
        <v>3.0</v>
      </c>
      <c r="K165" s="217">
        <v>5.0</v>
      </c>
      <c r="L165" s="218">
        <v>5.0</v>
      </c>
      <c r="M165" s="217">
        <v>1.0</v>
      </c>
      <c r="N165" s="218">
        <v>1.0</v>
      </c>
    </row>
    <row r="166" ht="15.75" customHeight="1">
      <c r="A166" s="271">
        <v>44.0</v>
      </c>
      <c r="B166" s="250" t="s">
        <v>1865</v>
      </c>
      <c r="C166" s="305" t="s">
        <v>1954</v>
      </c>
      <c r="D166" s="250" t="s">
        <v>1955</v>
      </c>
      <c r="E166" s="306">
        <v>1.330621E7</v>
      </c>
      <c r="F166" s="218">
        <v>4.0</v>
      </c>
      <c r="G166" s="217">
        <v>4.0</v>
      </c>
      <c r="H166" s="218">
        <v>2.0</v>
      </c>
      <c r="I166" s="217">
        <v>3.0</v>
      </c>
      <c r="J166" s="218">
        <v>3.0</v>
      </c>
      <c r="K166" s="217">
        <v>5.0</v>
      </c>
      <c r="L166" s="218">
        <v>5.0</v>
      </c>
      <c r="M166" s="217">
        <v>1.0</v>
      </c>
      <c r="N166" s="218">
        <v>1.0</v>
      </c>
    </row>
    <row r="167" ht="15.75" customHeight="1">
      <c r="A167" s="271">
        <v>45.0</v>
      </c>
      <c r="B167" s="250" t="s">
        <v>1865</v>
      </c>
      <c r="C167" s="305" t="s">
        <v>1956</v>
      </c>
      <c r="D167" s="250" t="s">
        <v>1957</v>
      </c>
      <c r="E167" s="306">
        <v>1.7248029E7</v>
      </c>
      <c r="F167" s="218">
        <v>4.0</v>
      </c>
      <c r="G167" s="217">
        <v>4.0</v>
      </c>
      <c r="H167" s="218">
        <v>2.0</v>
      </c>
      <c r="I167" s="217">
        <v>3.0</v>
      </c>
      <c r="J167" s="218">
        <v>3.0</v>
      </c>
      <c r="K167" s="217">
        <v>5.0</v>
      </c>
      <c r="L167" s="218">
        <v>5.0</v>
      </c>
      <c r="M167" s="217">
        <v>1.0</v>
      </c>
      <c r="N167" s="218">
        <v>1.0</v>
      </c>
    </row>
    <row r="168" ht="15.75" customHeight="1">
      <c r="A168" s="271">
        <v>46.0</v>
      </c>
      <c r="B168" s="250" t="s">
        <v>1865</v>
      </c>
      <c r="C168" s="305" t="s">
        <v>1958</v>
      </c>
      <c r="D168" s="250" t="s">
        <v>1959</v>
      </c>
      <c r="E168" s="306">
        <v>3.2874341E7</v>
      </c>
      <c r="F168" s="218">
        <v>4.0</v>
      </c>
      <c r="G168" s="217">
        <v>4.0</v>
      </c>
      <c r="H168" s="218">
        <v>2.0</v>
      </c>
      <c r="I168" s="217">
        <v>3.0</v>
      </c>
      <c r="J168" s="218">
        <v>3.0</v>
      </c>
      <c r="K168" s="217">
        <v>5.0</v>
      </c>
      <c r="L168" s="218">
        <v>5.0</v>
      </c>
      <c r="M168" s="217">
        <v>1.0</v>
      </c>
      <c r="N168" s="218">
        <v>1.0</v>
      </c>
    </row>
    <row r="169" ht="15.75" customHeight="1">
      <c r="A169" s="271">
        <v>47.0</v>
      </c>
      <c r="B169" s="250" t="s">
        <v>1011</v>
      </c>
      <c r="C169" s="299" t="s">
        <v>1960</v>
      </c>
      <c r="D169" s="250" t="s">
        <v>1961</v>
      </c>
      <c r="E169" s="214">
        <v>2.5621437E7</v>
      </c>
      <c r="F169" s="218">
        <v>4.0</v>
      </c>
      <c r="G169" s="217">
        <v>4.0</v>
      </c>
      <c r="H169" s="218">
        <v>2.0</v>
      </c>
      <c r="I169" s="217">
        <v>3.0</v>
      </c>
      <c r="J169" s="218">
        <v>3.0</v>
      </c>
      <c r="K169" s="217">
        <v>5.0</v>
      </c>
      <c r="L169" s="218">
        <v>5.0</v>
      </c>
      <c r="M169" s="217">
        <v>1.0</v>
      </c>
      <c r="N169" s="218">
        <v>1.0</v>
      </c>
    </row>
    <row r="170" ht="15.75" customHeight="1">
      <c r="A170" s="271">
        <v>48.0</v>
      </c>
      <c r="B170" s="250" t="s">
        <v>1011</v>
      </c>
      <c r="C170" s="299" t="s">
        <v>1962</v>
      </c>
      <c r="D170" s="250" t="s">
        <v>1963</v>
      </c>
      <c r="E170" s="273">
        <v>1.8804212E7</v>
      </c>
      <c r="F170" s="218">
        <v>4.0</v>
      </c>
      <c r="G170" s="217">
        <v>4.0</v>
      </c>
      <c r="H170" s="218">
        <v>2.0</v>
      </c>
      <c r="I170" s="217">
        <v>3.0</v>
      </c>
      <c r="J170" s="218">
        <v>3.0</v>
      </c>
      <c r="K170" s="217">
        <v>5.0</v>
      </c>
      <c r="L170" s="218">
        <v>5.0</v>
      </c>
      <c r="M170" s="217">
        <v>1.0</v>
      </c>
      <c r="N170" s="218">
        <v>1.0</v>
      </c>
    </row>
    <row r="171" ht="15.75" customHeight="1">
      <c r="A171" s="271">
        <v>49.0</v>
      </c>
      <c r="B171" s="250" t="s">
        <v>1011</v>
      </c>
      <c r="C171" s="299" t="s">
        <v>1964</v>
      </c>
      <c r="D171" s="250" t="s">
        <v>1965</v>
      </c>
      <c r="E171" s="214">
        <v>1.3042191E7</v>
      </c>
      <c r="F171" s="218">
        <v>4.0</v>
      </c>
      <c r="G171" s="217">
        <v>4.0</v>
      </c>
      <c r="H171" s="218">
        <v>2.0</v>
      </c>
      <c r="I171" s="217">
        <v>3.0</v>
      </c>
      <c r="J171" s="218">
        <v>3.0</v>
      </c>
      <c r="K171" s="217">
        <v>5.0</v>
      </c>
      <c r="L171" s="218">
        <v>5.0</v>
      </c>
      <c r="M171" s="217">
        <v>1.0</v>
      </c>
      <c r="N171" s="218">
        <v>1.0</v>
      </c>
    </row>
    <row r="172" ht="15.75" customHeight="1">
      <c r="A172" s="271">
        <v>50.0</v>
      </c>
      <c r="B172" s="250">
        <v>113.0</v>
      </c>
      <c r="C172" s="299" t="s">
        <v>1966</v>
      </c>
      <c r="D172" s="250" t="s">
        <v>1967</v>
      </c>
      <c r="E172" s="214">
        <v>2.0958308E7</v>
      </c>
      <c r="F172" s="218">
        <v>4.0</v>
      </c>
      <c r="G172" s="217">
        <v>4.0</v>
      </c>
      <c r="H172" s="218">
        <v>2.0</v>
      </c>
      <c r="I172" s="217">
        <v>3.0</v>
      </c>
      <c r="J172" s="218">
        <v>3.0</v>
      </c>
      <c r="K172" s="217">
        <v>5.0</v>
      </c>
      <c r="L172" s="218">
        <v>5.0</v>
      </c>
      <c r="M172" s="217">
        <v>1.0</v>
      </c>
      <c r="N172" s="218">
        <v>1.0</v>
      </c>
    </row>
    <row r="173" ht="15.75" customHeight="1">
      <c r="A173" s="271">
        <v>51.0</v>
      </c>
      <c r="B173" s="250">
        <v>114.0</v>
      </c>
      <c r="C173" s="299" t="s">
        <v>1968</v>
      </c>
      <c r="D173" s="250" t="s">
        <v>1969</v>
      </c>
      <c r="E173" s="273">
        <v>2.4045491E7</v>
      </c>
      <c r="F173" s="218">
        <v>4.0</v>
      </c>
      <c r="G173" s="217">
        <v>4.0</v>
      </c>
      <c r="H173" s="218">
        <v>2.0</v>
      </c>
      <c r="I173" s="217">
        <v>3.0</v>
      </c>
      <c r="J173" s="218">
        <v>3.0</v>
      </c>
      <c r="K173" s="217">
        <v>5.0</v>
      </c>
      <c r="L173" s="218">
        <v>5.0</v>
      </c>
      <c r="M173" s="217">
        <v>1.0</v>
      </c>
      <c r="N173" s="218">
        <v>1.0</v>
      </c>
    </row>
    <row r="174" ht="15.75" customHeight="1">
      <c r="A174" s="271">
        <v>52.0</v>
      </c>
      <c r="B174" s="250">
        <v>115.0</v>
      </c>
      <c r="C174" s="299" t="s">
        <v>1970</v>
      </c>
      <c r="D174" s="250" t="s">
        <v>1971</v>
      </c>
      <c r="E174" s="273">
        <v>2.7189913E7</v>
      </c>
      <c r="F174" s="218">
        <v>4.0</v>
      </c>
      <c r="G174" s="217">
        <v>4.0</v>
      </c>
      <c r="H174" s="218">
        <v>2.0</v>
      </c>
      <c r="I174" s="217">
        <v>3.0</v>
      </c>
      <c r="J174" s="218">
        <v>3.0</v>
      </c>
      <c r="K174" s="217">
        <v>5.0</v>
      </c>
      <c r="L174" s="218">
        <v>5.0</v>
      </c>
      <c r="M174" s="217">
        <v>1.0</v>
      </c>
      <c r="N174" s="218">
        <v>1.0</v>
      </c>
    </row>
    <row r="175" ht="15.75" customHeight="1">
      <c r="A175" s="271">
        <v>53.0</v>
      </c>
      <c r="B175" s="250">
        <v>116.0</v>
      </c>
      <c r="C175" s="299" t="s">
        <v>1972</v>
      </c>
      <c r="D175" s="250" t="s">
        <v>1973</v>
      </c>
      <c r="E175" s="273">
        <v>2.2018155E7</v>
      </c>
      <c r="F175" s="218">
        <v>4.0</v>
      </c>
      <c r="G175" s="217">
        <v>4.0</v>
      </c>
      <c r="H175" s="218">
        <v>2.0</v>
      </c>
      <c r="I175" s="217">
        <v>3.0</v>
      </c>
      <c r="J175" s="218">
        <v>3.0</v>
      </c>
      <c r="K175" s="217">
        <v>5.0</v>
      </c>
      <c r="L175" s="218">
        <v>5.0</v>
      </c>
      <c r="M175" s="217">
        <v>1.0</v>
      </c>
      <c r="N175" s="218">
        <v>1.0</v>
      </c>
    </row>
    <row r="176" ht="15.75" customHeight="1">
      <c r="A176" s="271">
        <v>54.0</v>
      </c>
      <c r="B176" s="250" t="s">
        <v>1011</v>
      </c>
      <c r="C176" s="299" t="s">
        <v>1626</v>
      </c>
      <c r="D176" s="250" t="s">
        <v>1974</v>
      </c>
      <c r="E176" s="273">
        <v>2.9981116E7</v>
      </c>
      <c r="F176" s="218">
        <v>4.0</v>
      </c>
      <c r="G176" s="217">
        <v>4.0</v>
      </c>
      <c r="H176" s="218">
        <v>2.0</v>
      </c>
      <c r="I176" s="217">
        <v>3.0</v>
      </c>
      <c r="J176" s="218">
        <v>3.0</v>
      </c>
      <c r="K176" s="217">
        <v>5.0</v>
      </c>
      <c r="L176" s="218">
        <v>5.0</v>
      </c>
      <c r="M176" s="217">
        <v>1.0</v>
      </c>
      <c r="N176" s="218">
        <v>1.0</v>
      </c>
    </row>
    <row r="177" ht="15.75" customHeight="1">
      <c r="A177" s="271">
        <v>55.0</v>
      </c>
      <c r="B177" s="250" t="s">
        <v>1011</v>
      </c>
      <c r="C177" s="299" t="s">
        <v>1975</v>
      </c>
      <c r="D177" s="250" t="s">
        <v>1976</v>
      </c>
      <c r="E177" s="214">
        <v>3.4718371E7</v>
      </c>
      <c r="F177" s="218">
        <v>4.0</v>
      </c>
      <c r="G177" s="217">
        <v>4.0</v>
      </c>
      <c r="H177" s="218">
        <v>2.0</v>
      </c>
      <c r="I177" s="217">
        <v>3.0</v>
      </c>
      <c r="J177" s="218">
        <v>3.0</v>
      </c>
      <c r="K177" s="217">
        <v>5.0</v>
      </c>
      <c r="L177" s="218">
        <v>5.0</v>
      </c>
      <c r="M177" s="217">
        <v>1.0</v>
      </c>
      <c r="N177" s="218">
        <v>1.0</v>
      </c>
    </row>
    <row r="178" ht="15.75" customHeight="1">
      <c r="A178" s="271">
        <v>56.0</v>
      </c>
      <c r="B178" s="250">
        <v>117.0</v>
      </c>
      <c r="C178" s="299" t="s">
        <v>1977</v>
      </c>
      <c r="D178" s="250" t="s">
        <v>1978</v>
      </c>
      <c r="E178" s="273">
        <v>1.3559599E7</v>
      </c>
      <c r="F178" s="218">
        <v>4.0</v>
      </c>
      <c r="G178" s="217">
        <v>4.0</v>
      </c>
      <c r="H178" s="218">
        <v>2.0</v>
      </c>
      <c r="I178" s="217">
        <v>3.0</v>
      </c>
      <c r="J178" s="218">
        <v>3.0</v>
      </c>
      <c r="K178" s="217">
        <v>5.0</v>
      </c>
      <c r="L178" s="218">
        <v>5.0</v>
      </c>
      <c r="M178" s="217">
        <v>1.0</v>
      </c>
      <c r="N178" s="218">
        <v>1.0</v>
      </c>
    </row>
    <row r="179" ht="15.75" customHeight="1">
      <c r="A179" s="271">
        <v>57.0</v>
      </c>
      <c r="B179" s="250">
        <v>118.0</v>
      </c>
      <c r="C179" s="298" t="s">
        <v>1979</v>
      </c>
      <c r="D179" s="250" t="s">
        <v>1980</v>
      </c>
      <c r="E179" s="273">
        <v>3.739225E7</v>
      </c>
      <c r="F179" s="218">
        <v>4.0</v>
      </c>
      <c r="G179" s="217">
        <v>4.0</v>
      </c>
      <c r="H179" s="218">
        <v>2.0</v>
      </c>
      <c r="I179" s="217">
        <v>3.0</v>
      </c>
      <c r="J179" s="218">
        <v>3.0</v>
      </c>
      <c r="K179" s="217">
        <v>5.0</v>
      </c>
      <c r="L179" s="218">
        <v>5.0</v>
      </c>
      <c r="M179" s="217">
        <v>1.0</v>
      </c>
      <c r="N179" s="218">
        <v>1.0</v>
      </c>
    </row>
    <row r="180" ht="15.75" customHeight="1">
      <c r="A180" s="271">
        <v>58.0</v>
      </c>
      <c r="B180" s="250">
        <v>208.0</v>
      </c>
      <c r="C180" s="299" t="s">
        <v>1981</v>
      </c>
      <c r="D180" s="250" t="s">
        <v>1982</v>
      </c>
      <c r="E180" s="307">
        <v>2.4115591E7</v>
      </c>
      <c r="F180" s="218">
        <v>4.0</v>
      </c>
      <c r="G180" s="217">
        <v>4.0</v>
      </c>
      <c r="H180" s="218">
        <v>2.0</v>
      </c>
      <c r="I180" s="217">
        <v>3.0</v>
      </c>
      <c r="J180" s="218">
        <v>3.0</v>
      </c>
      <c r="K180" s="217">
        <v>5.0</v>
      </c>
      <c r="L180" s="218">
        <v>5.0</v>
      </c>
      <c r="M180" s="217">
        <v>1.0</v>
      </c>
      <c r="N180" s="218">
        <v>1.0</v>
      </c>
    </row>
    <row r="181" ht="15.75" customHeight="1">
      <c r="A181" s="271">
        <v>59.0</v>
      </c>
      <c r="B181" s="250" t="s">
        <v>1011</v>
      </c>
      <c r="C181" s="299" t="s">
        <v>1983</v>
      </c>
      <c r="D181" s="250" t="s">
        <v>1984</v>
      </c>
      <c r="E181" s="214">
        <v>2.4008677E7</v>
      </c>
      <c r="F181" s="218">
        <v>15.0</v>
      </c>
      <c r="G181" s="217">
        <v>15.0</v>
      </c>
      <c r="H181" s="218">
        <v>15.0</v>
      </c>
      <c r="I181" s="217">
        <v>30.0</v>
      </c>
      <c r="J181" s="218">
        <v>30.0</v>
      </c>
      <c r="K181" s="217">
        <v>30.0</v>
      </c>
      <c r="L181" s="218">
        <v>30.0</v>
      </c>
      <c r="M181" s="217">
        <v>15.0</v>
      </c>
      <c r="N181" s="218">
        <v>15.0</v>
      </c>
    </row>
    <row r="182" ht="15.75" customHeight="1">
      <c r="A182" s="271">
        <v>60.0</v>
      </c>
      <c r="B182" s="250" t="s">
        <v>1011</v>
      </c>
      <c r="C182" s="299" t="s">
        <v>1985</v>
      </c>
      <c r="D182" s="250" t="s">
        <v>1986</v>
      </c>
      <c r="E182" s="214">
        <v>1.6928719E7</v>
      </c>
      <c r="F182" s="218">
        <v>15.0</v>
      </c>
      <c r="G182" s="217">
        <v>15.0</v>
      </c>
      <c r="H182" s="218">
        <v>15.0</v>
      </c>
      <c r="I182" s="217">
        <v>30.0</v>
      </c>
      <c r="J182" s="218">
        <v>30.0</v>
      </c>
      <c r="K182" s="217">
        <v>30.0</v>
      </c>
      <c r="L182" s="218">
        <v>30.0</v>
      </c>
      <c r="M182" s="217">
        <v>15.0</v>
      </c>
      <c r="N182" s="218">
        <v>15.0</v>
      </c>
    </row>
    <row r="183" ht="15.75" customHeight="1">
      <c r="A183" s="271">
        <v>61.0</v>
      </c>
      <c r="B183" s="250" t="s">
        <v>1011</v>
      </c>
      <c r="C183" s="299" t="s">
        <v>1172</v>
      </c>
      <c r="D183" s="250" t="s">
        <v>1987</v>
      </c>
      <c r="E183" s="214">
        <v>1.2773205E7</v>
      </c>
      <c r="F183" s="218">
        <v>10.0</v>
      </c>
      <c r="G183" s="217">
        <v>10.0</v>
      </c>
      <c r="H183" s="218">
        <v>10.0</v>
      </c>
      <c r="I183" s="217">
        <v>20.0</v>
      </c>
      <c r="J183" s="218">
        <v>20.0</v>
      </c>
      <c r="K183" s="217">
        <v>20.0</v>
      </c>
      <c r="L183" s="218">
        <v>20.0</v>
      </c>
      <c r="M183" s="217">
        <v>10.0</v>
      </c>
      <c r="N183" s="218">
        <v>10.0</v>
      </c>
    </row>
    <row r="184" ht="15.75" customHeight="1">
      <c r="A184" s="271">
        <v>62.0</v>
      </c>
      <c r="B184" s="250" t="s">
        <v>1011</v>
      </c>
      <c r="C184" s="299" t="s">
        <v>1180</v>
      </c>
      <c r="D184" s="250" t="s">
        <v>1988</v>
      </c>
      <c r="E184" s="214">
        <v>3.0810862E7</v>
      </c>
      <c r="F184" s="218">
        <v>4.0</v>
      </c>
      <c r="G184" s="217">
        <v>4.0</v>
      </c>
      <c r="H184" s="218">
        <v>2.0</v>
      </c>
      <c r="I184" s="217">
        <v>3.0</v>
      </c>
      <c r="J184" s="218">
        <v>3.0</v>
      </c>
      <c r="K184" s="217">
        <v>5.0</v>
      </c>
      <c r="L184" s="218">
        <v>5.0</v>
      </c>
      <c r="M184" s="217">
        <v>1.0</v>
      </c>
      <c r="N184" s="218">
        <v>1.0</v>
      </c>
    </row>
    <row r="185" ht="15.75" customHeight="1">
      <c r="A185" s="308">
        <v>63.0</v>
      </c>
      <c r="B185" s="258" t="s">
        <v>1011</v>
      </c>
      <c r="C185" s="309" t="s">
        <v>1989</v>
      </c>
      <c r="D185" s="258" t="s">
        <v>1990</v>
      </c>
      <c r="E185" s="220">
        <v>3.009582E7</v>
      </c>
      <c r="F185" s="235">
        <v>25.0</v>
      </c>
      <c r="G185" s="236">
        <v>25.0</v>
      </c>
      <c r="H185" s="235">
        <v>25.0</v>
      </c>
      <c r="I185" s="236">
        <v>45.0</v>
      </c>
      <c r="J185" s="235">
        <v>45.0</v>
      </c>
      <c r="K185" s="236">
        <v>45.0</v>
      </c>
      <c r="L185" s="235">
        <v>45.0</v>
      </c>
      <c r="M185" s="236">
        <v>25.0</v>
      </c>
      <c r="N185" s="235">
        <v>25.0</v>
      </c>
    </row>
    <row r="186" ht="15.75" customHeight="1">
      <c r="D186" s="310"/>
      <c r="E186" s="311"/>
      <c r="F186" s="312">
        <f t="shared" ref="F186:N186" si="2">SUM(F123:F185)</f>
        <v>301</v>
      </c>
      <c r="G186" s="313">
        <f t="shared" si="2"/>
        <v>301</v>
      </c>
      <c r="H186" s="312">
        <f t="shared" si="2"/>
        <v>183</v>
      </c>
      <c r="I186" s="313">
        <f t="shared" si="2"/>
        <v>302</v>
      </c>
      <c r="J186" s="312">
        <f t="shared" si="2"/>
        <v>302</v>
      </c>
      <c r="K186" s="313">
        <f t="shared" si="2"/>
        <v>420</v>
      </c>
      <c r="L186" s="312">
        <f t="shared" si="2"/>
        <v>420</v>
      </c>
      <c r="M186" s="313">
        <f t="shared" si="2"/>
        <v>124</v>
      </c>
      <c r="N186" s="312">
        <f t="shared" si="2"/>
        <v>124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N2"/>
    <mergeCell ref="C9:E9"/>
    <mergeCell ref="A20:G20"/>
    <mergeCell ref="A23:N23"/>
    <mergeCell ref="A24:A25"/>
    <mergeCell ref="B24:B25"/>
    <mergeCell ref="C24:C25"/>
    <mergeCell ref="J121:J122"/>
    <mergeCell ref="K121:K122"/>
    <mergeCell ref="L121:L122"/>
    <mergeCell ref="M121:M122"/>
    <mergeCell ref="N24:N25"/>
    <mergeCell ref="A120:N120"/>
    <mergeCell ref="A121:A122"/>
    <mergeCell ref="B121:B122"/>
    <mergeCell ref="C121:C122"/>
    <mergeCell ref="D121:D122"/>
    <mergeCell ref="E121:E122"/>
    <mergeCell ref="N121:N122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F121:F122"/>
    <mergeCell ref="G121:G122"/>
    <mergeCell ref="H121:H122"/>
    <mergeCell ref="I121:I12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4.29"/>
    <col customWidth="1" min="3" max="26" width="10.71"/>
  </cols>
  <sheetData>
    <row r="2">
      <c r="B2" s="314" t="s">
        <v>1991</v>
      </c>
      <c r="C2" s="191"/>
    </row>
    <row r="4">
      <c r="B4" s="182" t="s">
        <v>1654</v>
      </c>
      <c r="C4" s="183">
        <v>89.0</v>
      </c>
    </row>
    <row r="5">
      <c r="B5" s="315" t="s">
        <v>1992</v>
      </c>
      <c r="C5" s="316">
        <v>16.0</v>
      </c>
    </row>
    <row r="6">
      <c r="B6" s="315" t="s">
        <v>1162</v>
      </c>
      <c r="C6" s="316">
        <v>5.0</v>
      </c>
    </row>
    <row r="7">
      <c r="B7" s="186" t="s">
        <v>1656</v>
      </c>
      <c r="C7" s="187">
        <v>8.0</v>
      </c>
    </row>
    <row r="8">
      <c r="B8" s="188" t="s">
        <v>1657</v>
      </c>
      <c r="C8" s="189">
        <v>118.0</v>
      </c>
    </row>
    <row r="11">
      <c r="B11" s="314" t="s">
        <v>1993</v>
      </c>
      <c r="C11" s="191"/>
    </row>
    <row r="13">
      <c r="B13" s="182" t="s">
        <v>1654</v>
      </c>
      <c r="C13" s="183">
        <v>88.0</v>
      </c>
    </row>
    <row r="14">
      <c r="B14" s="317" t="s">
        <v>1992</v>
      </c>
      <c r="C14" s="318">
        <v>16.0</v>
      </c>
    </row>
    <row r="15">
      <c r="B15" s="317" t="s">
        <v>1162</v>
      </c>
      <c r="C15" s="318">
        <v>5.0</v>
      </c>
    </row>
    <row r="16">
      <c r="B16" s="317" t="s">
        <v>1656</v>
      </c>
      <c r="C16" s="318">
        <v>8.0</v>
      </c>
    </row>
    <row r="17">
      <c r="B17" s="188" t="s">
        <v>1657</v>
      </c>
      <c r="C17" s="189">
        <v>117.0</v>
      </c>
    </row>
    <row r="20">
      <c r="B20" s="178" t="s">
        <v>1994</v>
      </c>
      <c r="C20" s="179"/>
      <c r="D20" s="179"/>
      <c r="E20" s="179"/>
      <c r="F20" s="179"/>
      <c r="G20" s="179"/>
      <c r="H20" s="18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C2"/>
    <mergeCell ref="B11:C11"/>
    <mergeCell ref="B20:H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2026-01-07T14:51:24Z</dcterms:created>
  <dc:creator>Victoria Ojeda</dc:creator>
</cp:coreProperties>
</file>